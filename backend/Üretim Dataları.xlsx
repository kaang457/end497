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EZGİ\Desktop\denemeusttekini\backend\"/>
    </mc:Choice>
  </mc:AlternateContent>
  <xr:revisionPtr revIDLastSave="0" documentId="8_{4CA17137-D9DF-438C-A43B-D3FA53CAACA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Gelen İşçiler" sheetId="12" r:id="rId1"/>
    <sheet name="İstasyonlar" sheetId="11" r:id="rId2"/>
    <sheet name="Performans Çarpanları" sheetId="10" r:id="rId3"/>
    <sheet name="Master Yetenekleri" sheetId="13" r:id="rId4"/>
    <sheet name="97653 için istasyonlar" sheetId="19" r:id="rId5"/>
    <sheet name="78446 için istasyonlar" sheetId="14" r:id="rId6"/>
    <sheet name="40132 için istasyonlar" sheetId="16" r:id="rId7"/>
    <sheet name="77558 için istasyonlar" sheetId="17" r:id="rId8"/>
    <sheet name="77514 için istasyonlar" sheetId="18" r:id="rId9"/>
    <sheet name="78472 için istasyonlar" sheetId="20" r:id="rId10"/>
    <sheet name="Model Üretim Bilgileri" sheetId="21" r:id="rId11"/>
    <sheet name="SABİT İST GÜNCEL....." sheetId="22" r:id="rId12"/>
  </sheets>
  <definedNames>
    <definedName name="_xlnm._FilterDatabase" localSheetId="6" hidden="1">'40132 için istasyonlar'!$A$1:$I$324</definedName>
    <definedName name="_xlnm._FilterDatabase" localSheetId="8" hidden="1">'77514 için istasyonlar'!$A$1:$J$284</definedName>
    <definedName name="_xlnm._FilterDatabase" localSheetId="7" hidden="1">'77558 için istasyonlar'!$A$1:$J$282</definedName>
    <definedName name="_xlnm._FilterDatabase" localSheetId="5" hidden="1">'78446 için istasyonlar'!$A$1:$K$263</definedName>
    <definedName name="_xlnm._FilterDatabase" localSheetId="9" hidden="1">'78472 için istasyonlar'!$A$1:$J$262</definedName>
    <definedName name="_xlnm._FilterDatabase" localSheetId="4" hidden="1">'97653 için istasyonlar'!$A$1:$J$274</definedName>
    <definedName name="_xlnm._FilterDatabase" localSheetId="1" hidden="1">İstasyonlar!$A$1:$F$776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17" l="1"/>
  <c r="J14" i="17"/>
  <c r="J15" i="17"/>
  <c r="J16" i="17"/>
  <c r="J17" i="17"/>
  <c r="J18" i="17" s="1"/>
  <c r="J19" i="17" s="1"/>
  <c r="J20" i="17" s="1"/>
  <c r="J21" i="17" s="1"/>
  <c r="J22" i="17" s="1"/>
  <c r="J23" i="17" s="1"/>
  <c r="J24" i="17" s="1"/>
  <c r="J25" i="17" s="1"/>
  <c r="J26" i="17" s="1"/>
  <c r="J27" i="17" s="1"/>
  <c r="J28" i="17" s="1"/>
  <c r="J29" i="17" s="1"/>
  <c r="J30" i="17" s="1"/>
  <c r="J31" i="17" s="1"/>
  <c r="J32" i="17" s="1"/>
  <c r="J33" i="17" s="1"/>
  <c r="J34" i="17" s="1"/>
  <c r="J35" i="17" s="1"/>
  <c r="J36" i="17" s="1"/>
  <c r="J37" i="17" s="1"/>
  <c r="J38" i="17" s="1"/>
  <c r="J39" i="17" s="1"/>
  <c r="J40" i="17" s="1"/>
  <c r="J41" i="17" s="1"/>
  <c r="J42" i="17" s="1"/>
  <c r="J43" i="17" s="1"/>
  <c r="J44" i="17" s="1"/>
  <c r="J45" i="17" s="1"/>
  <c r="J46" i="17" s="1"/>
  <c r="J47" i="17" s="1"/>
  <c r="J48" i="17" s="1"/>
  <c r="J49" i="17" s="1"/>
  <c r="J50" i="17" s="1"/>
  <c r="J51" i="17" s="1"/>
  <c r="J52" i="17" s="1"/>
  <c r="J53" i="17" s="1"/>
  <c r="J54" i="17" s="1"/>
  <c r="J55" i="17" s="1"/>
  <c r="J56" i="17" s="1"/>
  <c r="J57" i="17" s="1"/>
  <c r="J58" i="17" s="1"/>
  <c r="J59" i="17" s="1"/>
  <c r="J60" i="17" s="1"/>
  <c r="J61" i="17" s="1"/>
  <c r="J62" i="17" s="1"/>
  <c r="J63" i="17" s="1"/>
  <c r="J64" i="17" s="1"/>
  <c r="J65" i="17" s="1"/>
  <c r="J66" i="17" s="1"/>
  <c r="J67" i="17" s="1"/>
  <c r="J68" i="17" s="1"/>
  <c r="J69" i="17" s="1"/>
  <c r="J70" i="17" s="1"/>
  <c r="J71" i="17" s="1"/>
  <c r="J72" i="17" s="1"/>
  <c r="J73" i="17" s="1"/>
  <c r="J74" i="17" s="1"/>
  <c r="J75" i="17" s="1"/>
  <c r="J76" i="17" s="1"/>
  <c r="J77" i="17" s="1"/>
  <c r="J78" i="17" s="1"/>
  <c r="J79" i="17" s="1"/>
  <c r="J80" i="17" s="1"/>
  <c r="J81" i="17" s="1"/>
  <c r="J82" i="17" s="1"/>
  <c r="J83" i="17" s="1"/>
  <c r="J84" i="17" s="1"/>
  <c r="J85" i="17" s="1"/>
  <c r="J86" i="17" s="1"/>
  <c r="J87" i="17" s="1"/>
  <c r="J88" i="17" s="1"/>
  <c r="J89" i="17" s="1"/>
  <c r="J90" i="17" s="1"/>
  <c r="J91" i="17" s="1"/>
  <c r="J92" i="17" s="1"/>
  <c r="J93" i="17" s="1"/>
  <c r="J94" i="17" s="1"/>
  <c r="J95" i="17" s="1"/>
  <c r="J96" i="17" s="1"/>
  <c r="J97" i="17" s="1"/>
  <c r="J98" i="17" s="1"/>
  <c r="J99" i="17" s="1"/>
  <c r="J100" i="17" s="1"/>
  <c r="J101" i="17" s="1"/>
  <c r="J102" i="17" s="1"/>
  <c r="J103" i="17" s="1"/>
  <c r="J104" i="17" s="1"/>
  <c r="J105" i="17" s="1"/>
  <c r="J106" i="17" s="1"/>
  <c r="J107" i="17" s="1"/>
  <c r="J108" i="17" s="1"/>
  <c r="J109" i="17" s="1"/>
  <c r="J110" i="17" s="1"/>
  <c r="J111" i="17" s="1"/>
  <c r="J112" i="17" s="1"/>
  <c r="J113" i="17" s="1"/>
  <c r="J114" i="17" s="1"/>
  <c r="J115" i="17" s="1"/>
  <c r="J116" i="17" s="1"/>
  <c r="J117" i="17" s="1"/>
  <c r="J118" i="17" s="1"/>
  <c r="J119" i="17" s="1"/>
  <c r="J120" i="17" s="1"/>
  <c r="J121" i="17" s="1"/>
  <c r="J122" i="17" s="1"/>
  <c r="J123" i="17" s="1"/>
  <c r="J124" i="17" s="1"/>
  <c r="J125" i="17" s="1"/>
  <c r="J126" i="17" s="1"/>
  <c r="J127" i="17" s="1"/>
  <c r="J128" i="17" s="1"/>
  <c r="J129" i="17" s="1"/>
  <c r="J130" i="17" s="1"/>
  <c r="J131" i="17" s="1"/>
  <c r="J132" i="17" s="1"/>
  <c r="J133" i="17" s="1"/>
  <c r="J134" i="17" s="1"/>
  <c r="J135" i="17" s="1"/>
  <c r="J136" i="17" s="1"/>
  <c r="J137" i="17" s="1"/>
  <c r="J138" i="17" s="1"/>
  <c r="J139" i="17" s="1"/>
  <c r="J140" i="17" s="1"/>
  <c r="J141" i="17" s="1"/>
  <c r="J142" i="17" s="1"/>
  <c r="J143" i="17" s="1"/>
  <c r="J144" i="17" s="1"/>
  <c r="J145" i="17" s="1"/>
  <c r="J146" i="17" s="1"/>
  <c r="J147" i="17" s="1"/>
  <c r="J148" i="17" s="1"/>
  <c r="J149" i="17" s="1"/>
  <c r="J150" i="17" s="1"/>
  <c r="J151" i="17" s="1"/>
  <c r="J152" i="17" s="1"/>
  <c r="J153" i="17" s="1"/>
  <c r="J154" i="17" s="1"/>
  <c r="J155" i="17" s="1"/>
  <c r="J156" i="17" s="1"/>
  <c r="J157" i="17" s="1"/>
  <c r="J158" i="17" s="1"/>
  <c r="J159" i="17" s="1"/>
  <c r="J160" i="17" s="1"/>
  <c r="J161" i="17" s="1"/>
  <c r="J162" i="17" s="1"/>
  <c r="J163" i="17" s="1"/>
  <c r="J164" i="17" s="1"/>
  <c r="J165" i="17" s="1"/>
  <c r="J166" i="17" s="1"/>
  <c r="J167" i="17" s="1"/>
  <c r="J168" i="17" s="1"/>
  <c r="J169" i="17" s="1"/>
  <c r="J170" i="17" s="1"/>
  <c r="J171" i="17" s="1"/>
  <c r="J172" i="17" s="1"/>
  <c r="J173" i="17" s="1"/>
  <c r="J174" i="17" s="1"/>
  <c r="J175" i="17" s="1"/>
  <c r="J176" i="17" s="1"/>
  <c r="J177" i="17" s="1"/>
  <c r="J178" i="17" s="1"/>
  <c r="J179" i="17" s="1"/>
  <c r="J180" i="17" s="1"/>
  <c r="J181" i="17" s="1"/>
  <c r="J182" i="17" s="1"/>
  <c r="J183" i="17" s="1"/>
  <c r="J184" i="17" s="1"/>
  <c r="J185" i="17" s="1"/>
  <c r="J186" i="17" s="1"/>
  <c r="J187" i="17" s="1"/>
  <c r="J188" i="17" s="1"/>
  <c r="J189" i="17" s="1"/>
  <c r="J190" i="17" s="1"/>
  <c r="J191" i="17" s="1"/>
  <c r="J192" i="17" s="1"/>
  <c r="J193" i="17" s="1"/>
  <c r="J194" i="17" s="1"/>
  <c r="J195" i="17" s="1"/>
  <c r="J196" i="17" s="1"/>
  <c r="J197" i="17" s="1"/>
  <c r="J198" i="17" s="1"/>
  <c r="J199" i="17" s="1"/>
  <c r="J200" i="17" s="1"/>
  <c r="J201" i="17" s="1"/>
  <c r="J202" i="17" s="1"/>
  <c r="J203" i="17" s="1"/>
  <c r="J204" i="17" s="1"/>
  <c r="J205" i="17" s="1"/>
  <c r="J206" i="17" s="1"/>
  <c r="J207" i="17" s="1"/>
  <c r="J208" i="17" s="1"/>
  <c r="J209" i="17" s="1"/>
  <c r="J210" i="17" s="1"/>
  <c r="J211" i="17" s="1"/>
  <c r="J212" i="17" s="1"/>
  <c r="J213" i="17" s="1"/>
  <c r="J214" i="17" s="1"/>
  <c r="J215" i="17" s="1"/>
  <c r="J216" i="17" s="1"/>
  <c r="J217" i="17" s="1"/>
  <c r="J218" i="17" s="1"/>
  <c r="J219" i="17" s="1"/>
  <c r="J220" i="17" s="1"/>
  <c r="J221" i="17" s="1"/>
  <c r="J222" i="17" s="1"/>
  <c r="J223" i="17" s="1"/>
  <c r="J224" i="17" s="1"/>
  <c r="J225" i="17" s="1"/>
  <c r="J226" i="17" s="1"/>
  <c r="J227" i="17" s="1"/>
  <c r="J228" i="17" s="1"/>
  <c r="J229" i="17" s="1"/>
  <c r="J230" i="17" s="1"/>
  <c r="J231" i="17" s="1"/>
  <c r="J232" i="17" s="1"/>
  <c r="J233" i="17" s="1"/>
  <c r="J234" i="17" s="1"/>
  <c r="J235" i="17" s="1"/>
  <c r="J236" i="17" s="1"/>
  <c r="J237" i="17" s="1"/>
  <c r="J238" i="17" s="1"/>
  <c r="J239" i="17" s="1"/>
  <c r="J240" i="17" s="1"/>
  <c r="J241" i="17" s="1"/>
  <c r="J242" i="17" s="1"/>
  <c r="J243" i="17" s="1"/>
  <c r="J244" i="17" s="1"/>
  <c r="J245" i="17" s="1"/>
  <c r="J246" i="17" s="1"/>
  <c r="J247" i="17" s="1"/>
  <c r="J248" i="17" s="1"/>
  <c r="J249" i="17" s="1"/>
  <c r="J250" i="17" s="1"/>
  <c r="J251" i="17" s="1"/>
  <c r="J252" i="17" s="1"/>
  <c r="J253" i="17" s="1"/>
  <c r="J254" i="17" s="1"/>
  <c r="J255" i="17" s="1"/>
  <c r="J256" i="17" s="1"/>
  <c r="J257" i="17" s="1"/>
  <c r="J258" i="17" s="1"/>
  <c r="J259" i="17" s="1"/>
  <c r="J260" i="17" s="1"/>
  <c r="J261" i="17" s="1"/>
  <c r="J262" i="17" s="1"/>
  <c r="J263" i="17" s="1"/>
  <c r="J264" i="17" s="1"/>
  <c r="J265" i="17" s="1"/>
  <c r="J3" i="20"/>
  <c r="J4" i="20" s="1"/>
  <c r="J5" i="20" s="1"/>
  <c r="J6" i="20" s="1"/>
  <c r="J7" i="20" s="1"/>
  <c r="J8" i="20" s="1"/>
  <c r="J9" i="20" s="1"/>
  <c r="J10" i="20" s="1"/>
  <c r="J11" i="20" s="1"/>
  <c r="J12" i="20" s="1"/>
  <c r="J13" i="20" s="1"/>
  <c r="J14" i="20" s="1"/>
  <c r="J15" i="20" s="1"/>
  <c r="J16" i="20" s="1"/>
  <c r="J17" i="20" s="1"/>
  <c r="J18" i="20" s="1"/>
  <c r="J19" i="20" s="1"/>
  <c r="J20" i="20" s="1"/>
  <c r="J21" i="20" s="1"/>
  <c r="J22" i="20" s="1"/>
  <c r="J23" i="20" s="1"/>
  <c r="J24" i="20" s="1"/>
  <c r="J25" i="20" s="1"/>
  <c r="J26" i="20" s="1"/>
  <c r="J27" i="20" s="1"/>
  <c r="J28" i="20" s="1"/>
  <c r="J29" i="20" s="1"/>
  <c r="J30" i="20" s="1"/>
  <c r="J31" i="20" s="1"/>
  <c r="J32" i="20" s="1"/>
  <c r="J33" i="20" s="1"/>
  <c r="J34" i="20" s="1"/>
  <c r="J35" i="20" s="1"/>
  <c r="J36" i="20" s="1"/>
  <c r="J37" i="20" s="1"/>
  <c r="J38" i="20" s="1"/>
  <c r="J39" i="20" s="1"/>
  <c r="J40" i="20" s="1"/>
  <c r="J41" i="20" s="1"/>
  <c r="J42" i="20" s="1"/>
  <c r="J43" i="20" s="1"/>
  <c r="J44" i="20" s="1"/>
  <c r="J45" i="20" s="1"/>
  <c r="J46" i="20" s="1"/>
  <c r="J47" i="20" s="1"/>
  <c r="J48" i="20" s="1"/>
  <c r="J49" i="20" s="1"/>
  <c r="J50" i="20" s="1"/>
  <c r="J51" i="20" s="1"/>
  <c r="J52" i="20" s="1"/>
  <c r="J53" i="20" s="1"/>
  <c r="J54" i="20" s="1"/>
  <c r="J55" i="20" s="1"/>
  <c r="J56" i="20" s="1"/>
  <c r="J57" i="20" s="1"/>
  <c r="J58" i="20" s="1"/>
  <c r="J59" i="20" s="1"/>
  <c r="J60" i="20" s="1"/>
  <c r="J61" i="20" s="1"/>
  <c r="J62" i="20" s="1"/>
  <c r="J63" i="20" s="1"/>
  <c r="J64" i="20" s="1"/>
  <c r="J65" i="20" s="1"/>
  <c r="J66" i="20" s="1"/>
  <c r="J67" i="20" s="1"/>
  <c r="J68" i="20" s="1"/>
  <c r="J69" i="20" s="1"/>
  <c r="J70" i="20" s="1"/>
  <c r="J71" i="20" s="1"/>
  <c r="J72" i="20" s="1"/>
  <c r="J73" i="20" s="1"/>
  <c r="J74" i="20" s="1"/>
  <c r="J75" i="20" s="1"/>
  <c r="J76" i="20" s="1"/>
  <c r="J77" i="20" s="1"/>
  <c r="J78" i="20" s="1"/>
  <c r="J79" i="20" s="1"/>
  <c r="J80" i="20" s="1"/>
  <c r="J81" i="20" s="1"/>
  <c r="J82" i="20" s="1"/>
  <c r="J83" i="20" s="1"/>
  <c r="J84" i="20" s="1"/>
  <c r="J85" i="20" s="1"/>
  <c r="J86" i="20" s="1"/>
  <c r="J87" i="20" s="1"/>
  <c r="J88" i="20" s="1"/>
  <c r="J89" i="20" s="1"/>
  <c r="J90" i="20" s="1"/>
  <c r="J91" i="20" s="1"/>
  <c r="J92" i="20" s="1"/>
  <c r="J93" i="20" s="1"/>
  <c r="J94" i="20" s="1"/>
  <c r="J95" i="20" s="1"/>
  <c r="J96" i="20" s="1"/>
  <c r="J97" i="20" s="1"/>
  <c r="J98" i="20" s="1"/>
  <c r="J99" i="20" s="1"/>
  <c r="J100" i="20" s="1"/>
  <c r="J101" i="20" s="1"/>
  <c r="J102" i="20" s="1"/>
  <c r="J103" i="20" s="1"/>
  <c r="J104" i="20" s="1"/>
  <c r="J105" i="20" s="1"/>
  <c r="J106" i="20" s="1"/>
  <c r="J107" i="20" s="1"/>
  <c r="J108" i="20" s="1"/>
  <c r="J109" i="20" s="1"/>
  <c r="J110" i="20" s="1"/>
  <c r="J111" i="20" s="1"/>
  <c r="J112" i="20" s="1"/>
  <c r="J113" i="20" s="1"/>
  <c r="J114" i="20" s="1"/>
  <c r="J115" i="20" s="1"/>
  <c r="J116" i="20" s="1"/>
  <c r="J117" i="20" s="1"/>
  <c r="J118" i="20" s="1"/>
  <c r="J119" i="20" s="1"/>
  <c r="J120" i="20" s="1"/>
  <c r="J121" i="20" s="1"/>
  <c r="J122" i="20" s="1"/>
  <c r="J123" i="20" s="1"/>
  <c r="J124" i="20" s="1"/>
  <c r="J125" i="20" s="1"/>
  <c r="J126" i="20" s="1"/>
  <c r="J127" i="20" s="1"/>
  <c r="J128" i="20" s="1"/>
  <c r="J129" i="20" s="1"/>
  <c r="J130" i="20" s="1"/>
  <c r="J131" i="20" s="1"/>
  <c r="J132" i="20" s="1"/>
  <c r="J133" i="20" s="1"/>
  <c r="J134" i="20" s="1"/>
  <c r="J135" i="20" s="1"/>
  <c r="J136" i="20" s="1"/>
  <c r="J137" i="20" s="1"/>
  <c r="J138" i="20" s="1"/>
  <c r="J139" i="20" s="1"/>
  <c r="J140" i="20" s="1"/>
  <c r="J141" i="20" s="1"/>
  <c r="J142" i="20" s="1"/>
  <c r="J143" i="20" s="1"/>
  <c r="J144" i="20" s="1"/>
  <c r="J145" i="20" s="1"/>
  <c r="J146" i="20" s="1"/>
  <c r="J147" i="20" s="1"/>
  <c r="J148" i="20" s="1"/>
  <c r="J149" i="20" s="1"/>
  <c r="J150" i="20" s="1"/>
  <c r="J151" i="20" s="1"/>
  <c r="J152" i="20" s="1"/>
  <c r="J153" i="20" s="1"/>
  <c r="J154" i="20" s="1"/>
  <c r="J155" i="20" s="1"/>
  <c r="J156" i="20" s="1"/>
  <c r="J157" i="20" s="1"/>
  <c r="J158" i="20" s="1"/>
  <c r="J159" i="20" s="1"/>
  <c r="J160" i="20" s="1"/>
  <c r="J161" i="20" s="1"/>
  <c r="J162" i="20" s="1"/>
  <c r="J163" i="20" s="1"/>
  <c r="J164" i="20" s="1"/>
  <c r="J165" i="20" s="1"/>
  <c r="J166" i="20" s="1"/>
  <c r="J167" i="20" s="1"/>
  <c r="J168" i="20" s="1"/>
  <c r="J169" i="20" s="1"/>
  <c r="J170" i="20" s="1"/>
  <c r="J171" i="20" s="1"/>
  <c r="J172" i="20" s="1"/>
  <c r="J173" i="20" s="1"/>
  <c r="J174" i="20" s="1"/>
  <c r="J175" i="20" s="1"/>
  <c r="J176" i="20" s="1"/>
  <c r="J177" i="20" s="1"/>
  <c r="J178" i="20" s="1"/>
  <c r="J179" i="20" s="1"/>
  <c r="J180" i="20" s="1"/>
  <c r="J181" i="20" s="1"/>
  <c r="J182" i="20" s="1"/>
  <c r="J183" i="20" s="1"/>
  <c r="J184" i="20" s="1"/>
  <c r="J185" i="20" s="1"/>
  <c r="J186" i="20" s="1"/>
  <c r="J187" i="20" s="1"/>
  <c r="J188" i="20" s="1"/>
  <c r="J189" i="20" s="1"/>
  <c r="J190" i="20" s="1"/>
  <c r="J191" i="20" s="1"/>
  <c r="J192" i="20" s="1"/>
  <c r="J193" i="20" s="1"/>
  <c r="J194" i="20" s="1"/>
  <c r="J195" i="20" s="1"/>
  <c r="J196" i="20" s="1"/>
  <c r="J197" i="20" s="1"/>
  <c r="J198" i="20" s="1"/>
  <c r="J199" i="20" s="1"/>
  <c r="J200" i="20" s="1"/>
  <c r="J201" i="20" s="1"/>
  <c r="J202" i="20" s="1"/>
  <c r="J203" i="20" s="1"/>
  <c r="J204" i="20" s="1"/>
  <c r="J205" i="20" s="1"/>
  <c r="J206" i="20" s="1"/>
  <c r="J207" i="20" s="1"/>
  <c r="J208" i="20" s="1"/>
  <c r="J209" i="20" s="1"/>
  <c r="J210" i="20" s="1"/>
  <c r="J211" i="20" s="1"/>
  <c r="J212" i="20" s="1"/>
  <c r="J213" i="20" s="1"/>
  <c r="J214" i="20" s="1"/>
  <c r="J215" i="20" s="1"/>
  <c r="J216" i="20" s="1"/>
  <c r="J217" i="20" s="1"/>
  <c r="J218" i="20" s="1"/>
  <c r="J219" i="20" s="1"/>
  <c r="J220" i="20" s="1"/>
  <c r="J221" i="20" s="1"/>
  <c r="J222" i="20" s="1"/>
  <c r="J223" i="20" s="1"/>
  <c r="J224" i="20" s="1"/>
  <c r="J225" i="20" s="1"/>
  <c r="J226" i="20" s="1"/>
  <c r="J227" i="20" s="1"/>
  <c r="J228" i="20" s="1"/>
  <c r="J229" i="20" s="1"/>
  <c r="J230" i="20" s="1"/>
  <c r="J231" i="20" s="1"/>
  <c r="J232" i="20" s="1"/>
  <c r="J233" i="20" s="1"/>
  <c r="J234" i="20" s="1"/>
  <c r="J235" i="20" s="1"/>
  <c r="J236" i="20" s="1"/>
  <c r="J237" i="20" s="1"/>
  <c r="J238" i="20" s="1"/>
  <c r="J239" i="20" s="1"/>
  <c r="J240" i="20" s="1"/>
  <c r="J241" i="20" s="1"/>
  <c r="J242" i="20" s="1"/>
  <c r="J243" i="20" s="1"/>
  <c r="J244" i="20" s="1"/>
  <c r="J245" i="20" s="1"/>
  <c r="J246" i="20" s="1"/>
  <c r="J247" i="20" s="1"/>
  <c r="J248" i="20" s="1"/>
  <c r="J249" i="20" s="1"/>
  <c r="J250" i="20" s="1"/>
  <c r="J251" i="20" s="1"/>
  <c r="J252" i="20" s="1"/>
  <c r="J253" i="20" s="1"/>
  <c r="J254" i="20" s="1"/>
  <c r="J255" i="20" s="1"/>
  <c r="J256" i="20" s="1"/>
  <c r="J257" i="20" s="1"/>
  <c r="J258" i="20" s="1"/>
  <c r="J259" i="20" s="1"/>
  <c r="J260" i="20" s="1"/>
  <c r="J261" i="20" s="1"/>
  <c r="J262" i="20" s="1"/>
  <c r="J4" i="18"/>
  <c r="J5" i="18" s="1"/>
  <c r="J6" i="18" s="1"/>
  <c r="J7" i="18" s="1"/>
  <c r="J8" i="18" s="1"/>
  <c r="J9" i="18" s="1"/>
  <c r="J10" i="18" s="1"/>
  <c r="J11" i="18" s="1"/>
  <c r="J12" i="18" s="1"/>
  <c r="J13" i="18" s="1"/>
  <c r="J14" i="18" s="1"/>
  <c r="J15" i="18" s="1"/>
  <c r="J16" i="18" s="1"/>
  <c r="J17" i="18" s="1"/>
  <c r="J18" i="18" s="1"/>
  <c r="J19" i="18" s="1"/>
  <c r="J20" i="18" s="1"/>
  <c r="J21" i="18" s="1"/>
  <c r="J22" i="18" s="1"/>
  <c r="J23" i="18" s="1"/>
  <c r="J24" i="18" s="1"/>
  <c r="J25" i="18" s="1"/>
  <c r="J26" i="18" s="1"/>
  <c r="J27" i="18" s="1"/>
  <c r="J28" i="18" s="1"/>
  <c r="J29" i="18" s="1"/>
  <c r="J30" i="18" s="1"/>
  <c r="J31" i="18" s="1"/>
  <c r="J32" i="18" s="1"/>
  <c r="J33" i="18" s="1"/>
  <c r="J34" i="18" s="1"/>
  <c r="J35" i="18" s="1"/>
  <c r="J36" i="18" s="1"/>
  <c r="J37" i="18" s="1"/>
  <c r="J38" i="18" s="1"/>
  <c r="J39" i="18" s="1"/>
  <c r="J40" i="18" s="1"/>
  <c r="J41" i="18" s="1"/>
  <c r="J42" i="18" s="1"/>
  <c r="J43" i="18" s="1"/>
  <c r="J44" i="18" s="1"/>
  <c r="J45" i="18" s="1"/>
  <c r="J46" i="18" s="1"/>
  <c r="J47" i="18" s="1"/>
  <c r="J48" i="18" s="1"/>
  <c r="J49" i="18" s="1"/>
  <c r="J50" i="18" s="1"/>
  <c r="J51" i="18" s="1"/>
  <c r="J52" i="18" s="1"/>
  <c r="J53" i="18" s="1"/>
  <c r="J54" i="18" s="1"/>
  <c r="J55" i="18" s="1"/>
  <c r="J56" i="18" s="1"/>
  <c r="J57" i="18" s="1"/>
  <c r="J58" i="18" s="1"/>
  <c r="J59" i="18" s="1"/>
  <c r="J60" i="18" s="1"/>
  <c r="J61" i="18" s="1"/>
  <c r="J62" i="18" s="1"/>
  <c r="J63" i="18" s="1"/>
  <c r="J64" i="18" s="1"/>
  <c r="J65" i="18" s="1"/>
  <c r="J66" i="18" s="1"/>
  <c r="J67" i="18" s="1"/>
  <c r="J68" i="18" s="1"/>
  <c r="J69" i="18" s="1"/>
  <c r="J70" i="18" s="1"/>
  <c r="J71" i="18" s="1"/>
  <c r="J72" i="18" s="1"/>
  <c r="J73" i="18" s="1"/>
  <c r="J74" i="18" s="1"/>
  <c r="J75" i="18" s="1"/>
  <c r="J76" i="18" s="1"/>
  <c r="J77" i="18" s="1"/>
  <c r="J78" i="18" s="1"/>
  <c r="J79" i="18" s="1"/>
  <c r="J80" i="18" s="1"/>
  <c r="J81" i="18" s="1"/>
  <c r="J82" i="18" s="1"/>
  <c r="J83" i="18" s="1"/>
  <c r="J84" i="18" s="1"/>
  <c r="J85" i="18" s="1"/>
  <c r="J86" i="18" s="1"/>
  <c r="J87" i="18" s="1"/>
  <c r="J88" i="18" s="1"/>
  <c r="J89" i="18" s="1"/>
  <c r="J90" i="18" s="1"/>
  <c r="J91" i="18" s="1"/>
  <c r="J92" i="18" s="1"/>
  <c r="J93" i="18" s="1"/>
  <c r="J94" i="18" s="1"/>
  <c r="J95" i="18" s="1"/>
  <c r="J96" i="18" s="1"/>
  <c r="J97" i="18" s="1"/>
  <c r="J98" i="18" s="1"/>
  <c r="J99" i="18" s="1"/>
  <c r="J100" i="18" s="1"/>
  <c r="J101" i="18" s="1"/>
  <c r="J102" i="18" s="1"/>
  <c r="J103" i="18" s="1"/>
  <c r="J104" i="18" s="1"/>
  <c r="J105" i="18" s="1"/>
  <c r="J106" i="18" s="1"/>
  <c r="J107" i="18" s="1"/>
  <c r="J108" i="18" s="1"/>
  <c r="J109" i="18" s="1"/>
  <c r="J110" i="18" s="1"/>
  <c r="J111" i="18" s="1"/>
  <c r="J112" i="18" s="1"/>
  <c r="J113" i="18" s="1"/>
  <c r="J114" i="18" s="1"/>
  <c r="J115" i="18" s="1"/>
  <c r="J116" i="18" s="1"/>
  <c r="J117" i="18" s="1"/>
  <c r="J118" i="18" s="1"/>
  <c r="J119" i="18" s="1"/>
  <c r="J120" i="18" s="1"/>
  <c r="J121" i="18" s="1"/>
  <c r="J122" i="18" s="1"/>
  <c r="J123" i="18" s="1"/>
  <c r="J124" i="18" s="1"/>
  <c r="J125" i="18" s="1"/>
  <c r="J126" i="18" s="1"/>
  <c r="J127" i="18" s="1"/>
  <c r="J128" i="18" s="1"/>
  <c r="J129" i="18" s="1"/>
  <c r="J130" i="18" s="1"/>
  <c r="J131" i="18" s="1"/>
  <c r="J132" i="18" s="1"/>
  <c r="J133" i="18" s="1"/>
  <c r="J134" i="18" s="1"/>
  <c r="J135" i="18" s="1"/>
  <c r="J136" i="18" s="1"/>
  <c r="J137" i="18" s="1"/>
  <c r="J138" i="18" s="1"/>
  <c r="J139" i="18" s="1"/>
  <c r="J140" i="18" s="1"/>
  <c r="J141" i="18" s="1"/>
  <c r="J142" i="18" s="1"/>
  <c r="J143" i="18" s="1"/>
  <c r="J144" i="18" s="1"/>
  <c r="J145" i="18" s="1"/>
  <c r="J146" i="18" s="1"/>
  <c r="J147" i="18" s="1"/>
  <c r="J148" i="18" s="1"/>
  <c r="J149" i="18" s="1"/>
  <c r="J150" i="18" s="1"/>
  <c r="J151" i="18" s="1"/>
  <c r="J152" i="18" s="1"/>
  <c r="J153" i="18" s="1"/>
  <c r="J154" i="18" s="1"/>
  <c r="J155" i="18" s="1"/>
  <c r="J156" i="18" s="1"/>
  <c r="J157" i="18" s="1"/>
  <c r="J158" i="18" s="1"/>
  <c r="J159" i="18" s="1"/>
  <c r="J160" i="18" s="1"/>
  <c r="J161" i="18" s="1"/>
  <c r="J162" i="18" s="1"/>
  <c r="J163" i="18" s="1"/>
  <c r="J164" i="18" s="1"/>
  <c r="J165" i="18" s="1"/>
  <c r="J166" i="18" s="1"/>
  <c r="J167" i="18" s="1"/>
  <c r="J168" i="18" s="1"/>
  <c r="J169" i="18" s="1"/>
  <c r="J170" i="18" s="1"/>
  <c r="J171" i="18" s="1"/>
  <c r="J172" i="18" s="1"/>
  <c r="J173" i="18" s="1"/>
  <c r="J174" i="18" s="1"/>
  <c r="J175" i="18" s="1"/>
  <c r="J176" i="18" s="1"/>
  <c r="J177" i="18" s="1"/>
  <c r="J178" i="18" s="1"/>
  <c r="J179" i="18" s="1"/>
  <c r="J180" i="18" s="1"/>
  <c r="J181" i="18" s="1"/>
  <c r="J182" i="18" s="1"/>
  <c r="J183" i="18" s="1"/>
  <c r="J184" i="18" s="1"/>
  <c r="J185" i="18" s="1"/>
  <c r="J186" i="18" s="1"/>
  <c r="J187" i="18" s="1"/>
  <c r="J188" i="18" s="1"/>
  <c r="J189" i="18" s="1"/>
  <c r="J190" i="18" s="1"/>
  <c r="J191" i="18" s="1"/>
  <c r="J192" i="18" s="1"/>
  <c r="J193" i="18" s="1"/>
  <c r="J194" i="18" s="1"/>
  <c r="J195" i="18" s="1"/>
  <c r="J196" i="18" s="1"/>
  <c r="J197" i="18" s="1"/>
  <c r="J198" i="18" s="1"/>
  <c r="J199" i="18" s="1"/>
  <c r="J200" i="18" s="1"/>
  <c r="J201" i="18" s="1"/>
  <c r="J202" i="18" s="1"/>
  <c r="J203" i="18" s="1"/>
  <c r="J204" i="18" s="1"/>
  <c r="J205" i="18" s="1"/>
  <c r="J206" i="18" s="1"/>
  <c r="J207" i="18" s="1"/>
  <c r="J208" i="18" s="1"/>
  <c r="J209" i="18" s="1"/>
  <c r="J210" i="18" s="1"/>
  <c r="J211" i="18" s="1"/>
  <c r="J212" i="18" s="1"/>
  <c r="J213" i="18" s="1"/>
  <c r="J214" i="18" s="1"/>
  <c r="J215" i="18" s="1"/>
  <c r="J216" i="18" s="1"/>
  <c r="J217" i="18" s="1"/>
  <c r="J218" i="18" s="1"/>
  <c r="J219" i="18" s="1"/>
  <c r="J220" i="18" s="1"/>
  <c r="J221" i="18" s="1"/>
  <c r="J222" i="18" s="1"/>
  <c r="J223" i="18" s="1"/>
  <c r="J224" i="18" s="1"/>
  <c r="J225" i="18" s="1"/>
  <c r="J226" i="18" s="1"/>
  <c r="J227" i="18" s="1"/>
  <c r="J228" i="18" s="1"/>
  <c r="J229" i="18" s="1"/>
  <c r="J230" i="18" s="1"/>
  <c r="J231" i="18" s="1"/>
  <c r="J232" i="18" s="1"/>
  <c r="J233" i="18" s="1"/>
  <c r="J234" i="18" s="1"/>
  <c r="J235" i="18" s="1"/>
  <c r="J236" i="18" s="1"/>
  <c r="J237" i="18" s="1"/>
  <c r="J238" i="18" s="1"/>
  <c r="J239" i="18" s="1"/>
  <c r="J240" i="18" s="1"/>
  <c r="J241" i="18" s="1"/>
  <c r="J242" i="18" s="1"/>
  <c r="J243" i="18" s="1"/>
  <c r="J244" i="18" s="1"/>
  <c r="J245" i="18" s="1"/>
  <c r="J246" i="18" s="1"/>
  <c r="J247" i="18" s="1"/>
  <c r="J248" i="18" s="1"/>
  <c r="J249" i="18" s="1"/>
  <c r="J250" i="18" s="1"/>
  <c r="J251" i="18" s="1"/>
  <c r="J252" i="18" s="1"/>
  <c r="J253" i="18" s="1"/>
  <c r="J254" i="18" s="1"/>
  <c r="J255" i="18" s="1"/>
  <c r="J256" i="18" s="1"/>
  <c r="J257" i="18" s="1"/>
  <c r="J258" i="18" s="1"/>
  <c r="J259" i="18" s="1"/>
  <c r="J260" i="18" s="1"/>
  <c r="J261" i="18" s="1"/>
  <c r="J262" i="18" s="1"/>
  <c r="J263" i="18" s="1"/>
  <c r="J264" i="18" s="1"/>
  <c r="J265" i="18" s="1"/>
  <c r="J266" i="18" s="1"/>
  <c r="J267" i="18" s="1"/>
  <c r="J268" i="18" s="1"/>
  <c r="J269" i="18" s="1"/>
  <c r="J3" i="18"/>
  <c r="J3" i="17"/>
  <c r="J4" i="17" s="1"/>
  <c r="J5" i="17" s="1"/>
  <c r="J6" i="17" s="1"/>
  <c r="J7" i="17" s="1"/>
  <c r="J8" i="17" s="1"/>
  <c r="J9" i="17" s="1"/>
  <c r="J10" i="17" s="1"/>
  <c r="J11" i="17" s="1"/>
  <c r="J12" i="17" s="1"/>
  <c r="J3" i="16"/>
  <c r="J4" i="16" s="1"/>
  <c r="J5" i="16" s="1"/>
  <c r="J6" i="16" s="1"/>
  <c r="J7" i="16" s="1"/>
  <c r="J8" i="16" s="1"/>
  <c r="J9" i="16" s="1"/>
  <c r="J10" i="16" s="1"/>
  <c r="J11" i="16" s="1"/>
  <c r="J12" i="16" s="1"/>
  <c r="J13" i="16" s="1"/>
  <c r="J14" i="16" s="1"/>
  <c r="J15" i="16" s="1"/>
  <c r="J16" i="16" s="1"/>
  <c r="J17" i="16" s="1"/>
  <c r="J18" i="16" s="1"/>
  <c r="J19" i="16" s="1"/>
  <c r="J20" i="16" s="1"/>
  <c r="J21" i="16" s="1"/>
  <c r="J22" i="16" s="1"/>
  <c r="J23" i="16" s="1"/>
  <c r="J24" i="16" s="1"/>
  <c r="J25" i="16" s="1"/>
  <c r="J26" i="16" s="1"/>
  <c r="J27" i="16" s="1"/>
  <c r="J28" i="16" s="1"/>
  <c r="J29" i="16" s="1"/>
  <c r="J30" i="16" s="1"/>
  <c r="J31" i="16" s="1"/>
  <c r="J32" i="16" s="1"/>
  <c r="J33" i="16" s="1"/>
  <c r="J34" i="16" s="1"/>
  <c r="J35" i="16" s="1"/>
  <c r="J36" i="16" s="1"/>
  <c r="J37" i="16" s="1"/>
  <c r="J38" i="16" s="1"/>
  <c r="J39" i="16" s="1"/>
  <c r="J40" i="16" s="1"/>
  <c r="J41" i="16" s="1"/>
  <c r="J42" i="16" s="1"/>
  <c r="J43" i="16" s="1"/>
  <c r="J44" i="16" s="1"/>
  <c r="J45" i="16" s="1"/>
  <c r="J46" i="16" s="1"/>
  <c r="J47" i="16" s="1"/>
  <c r="J48" i="16" s="1"/>
  <c r="J49" i="16" s="1"/>
  <c r="J50" i="16" s="1"/>
  <c r="J51" i="16" s="1"/>
  <c r="J52" i="16" s="1"/>
  <c r="J53" i="16" s="1"/>
  <c r="J54" i="16" s="1"/>
  <c r="J55" i="16" s="1"/>
  <c r="J56" i="16" s="1"/>
  <c r="J57" i="16" s="1"/>
  <c r="J58" i="16" s="1"/>
  <c r="J59" i="16" s="1"/>
  <c r="J60" i="16" s="1"/>
  <c r="J61" i="16" s="1"/>
  <c r="J62" i="16" s="1"/>
  <c r="J63" i="16" s="1"/>
  <c r="J64" i="16" s="1"/>
  <c r="J65" i="16" s="1"/>
  <c r="J66" i="16" s="1"/>
  <c r="J67" i="16" s="1"/>
  <c r="J68" i="16" s="1"/>
  <c r="J69" i="16" s="1"/>
  <c r="J70" i="16" s="1"/>
  <c r="J71" i="16" s="1"/>
  <c r="J72" i="16" s="1"/>
  <c r="J73" i="16" s="1"/>
  <c r="J74" i="16" s="1"/>
  <c r="J75" i="16" s="1"/>
  <c r="J76" i="16" s="1"/>
  <c r="J77" i="16" s="1"/>
  <c r="J78" i="16" s="1"/>
  <c r="J79" i="16" s="1"/>
  <c r="J80" i="16" s="1"/>
  <c r="J81" i="16" s="1"/>
  <c r="J82" i="16" s="1"/>
  <c r="J83" i="16" s="1"/>
  <c r="J84" i="16" s="1"/>
  <c r="J85" i="16" s="1"/>
  <c r="J86" i="16" s="1"/>
  <c r="J87" i="16" s="1"/>
  <c r="J88" i="16" s="1"/>
  <c r="J89" i="16" s="1"/>
  <c r="J90" i="16" s="1"/>
  <c r="J91" i="16" s="1"/>
  <c r="J92" i="16" s="1"/>
  <c r="J93" i="16" s="1"/>
  <c r="J94" i="16" s="1"/>
  <c r="J95" i="16" s="1"/>
  <c r="J96" i="16" s="1"/>
  <c r="J97" i="16" s="1"/>
  <c r="J98" i="16" s="1"/>
  <c r="J99" i="16" s="1"/>
  <c r="J100" i="16" s="1"/>
  <c r="J101" i="16" s="1"/>
  <c r="J102" i="16" s="1"/>
  <c r="J103" i="16" s="1"/>
  <c r="J104" i="16" s="1"/>
  <c r="J105" i="16" s="1"/>
  <c r="J106" i="16" s="1"/>
  <c r="J107" i="16" s="1"/>
  <c r="J108" i="16" s="1"/>
  <c r="J109" i="16" s="1"/>
  <c r="J110" i="16" s="1"/>
  <c r="J111" i="16" s="1"/>
  <c r="J112" i="16" s="1"/>
  <c r="J113" i="16" s="1"/>
  <c r="J114" i="16" s="1"/>
  <c r="J115" i="16" s="1"/>
  <c r="J116" i="16" s="1"/>
  <c r="J117" i="16" s="1"/>
  <c r="J118" i="16" s="1"/>
  <c r="J119" i="16" s="1"/>
  <c r="J120" i="16" s="1"/>
  <c r="J121" i="16" s="1"/>
  <c r="J122" i="16" s="1"/>
  <c r="J123" i="16" s="1"/>
  <c r="J124" i="16" s="1"/>
  <c r="J125" i="16" s="1"/>
  <c r="J126" i="16" s="1"/>
  <c r="J127" i="16" s="1"/>
  <c r="J128" i="16" s="1"/>
  <c r="J129" i="16" s="1"/>
  <c r="J130" i="16" s="1"/>
  <c r="J131" i="16" s="1"/>
  <c r="J132" i="16" s="1"/>
  <c r="J133" i="16" s="1"/>
  <c r="J134" i="16" s="1"/>
  <c r="J135" i="16" s="1"/>
  <c r="J136" i="16" s="1"/>
  <c r="J137" i="16" s="1"/>
  <c r="J138" i="16" s="1"/>
  <c r="J139" i="16" s="1"/>
  <c r="J140" i="16" s="1"/>
  <c r="J141" i="16" s="1"/>
  <c r="J142" i="16" s="1"/>
  <c r="J143" i="16" s="1"/>
  <c r="J144" i="16" s="1"/>
  <c r="J145" i="16" s="1"/>
  <c r="J146" i="16" s="1"/>
  <c r="J147" i="16" s="1"/>
  <c r="J148" i="16" s="1"/>
  <c r="J149" i="16" s="1"/>
  <c r="J150" i="16" s="1"/>
  <c r="J151" i="16" s="1"/>
  <c r="J152" i="16" s="1"/>
  <c r="J153" i="16" s="1"/>
  <c r="J154" i="16" s="1"/>
  <c r="J155" i="16" s="1"/>
  <c r="J156" i="16" s="1"/>
  <c r="J157" i="16" s="1"/>
  <c r="J158" i="16" s="1"/>
  <c r="J159" i="16" s="1"/>
  <c r="J160" i="16" s="1"/>
  <c r="J161" i="16" s="1"/>
  <c r="J162" i="16" s="1"/>
  <c r="J163" i="16" s="1"/>
  <c r="J164" i="16" s="1"/>
  <c r="J165" i="16" s="1"/>
  <c r="J166" i="16" s="1"/>
  <c r="J167" i="16" s="1"/>
  <c r="J168" i="16" s="1"/>
  <c r="J169" i="16" s="1"/>
  <c r="J170" i="16" s="1"/>
  <c r="J171" i="16" s="1"/>
  <c r="J172" i="16" s="1"/>
  <c r="J173" i="16" s="1"/>
  <c r="J174" i="16" s="1"/>
  <c r="J175" i="16" s="1"/>
  <c r="J176" i="16" s="1"/>
  <c r="J177" i="16" s="1"/>
  <c r="J178" i="16" s="1"/>
  <c r="J179" i="16" s="1"/>
  <c r="J180" i="16" s="1"/>
  <c r="J181" i="16" s="1"/>
  <c r="J182" i="16" s="1"/>
  <c r="J183" i="16" s="1"/>
  <c r="J184" i="16" s="1"/>
  <c r="J185" i="16" s="1"/>
  <c r="J186" i="16" s="1"/>
  <c r="J187" i="16" s="1"/>
  <c r="J188" i="16" s="1"/>
  <c r="J189" i="16" s="1"/>
  <c r="J190" i="16" s="1"/>
  <c r="J191" i="16" s="1"/>
  <c r="J192" i="16" s="1"/>
  <c r="J193" i="16" s="1"/>
  <c r="J194" i="16" s="1"/>
  <c r="J195" i="16" s="1"/>
  <c r="J196" i="16" s="1"/>
  <c r="J197" i="16" s="1"/>
  <c r="J198" i="16" s="1"/>
  <c r="J199" i="16" s="1"/>
  <c r="J200" i="16" s="1"/>
  <c r="J201" i="16" s="1"/>
  <c r="J202" i="16" s="1"/>
  <c r="J203" i="16" s="1"/>
  <c r="J204" i="16" s="1"/>
  <c r="J205" i="16" s="1"/>
  <c r="J206" i="16" s="1"/>
  <c r="J207" i="16" s="1"/>
  <c r="J208" i="16" s="1"/>
  <c r="J209" i="16" s="1"/>
  <c r="J210" i="16" s="1"/>
  <c r="J211" i="16" s="1"/>
  <c r="J212" i="16" s="1"/>
  <c r="J213" i="16" s="1"/>
  <c r="J214" i="16" s="1"/>
  <c r="J215" i="16" s="1"/>
  <c r="J216" i="16" s="1"/>
  <c r="J217" i="16" s="1"/>
  <c r="J218" i="16" s="1"/>
  <c r="J219" i="16" s="1"/>
  <c r="J220" i="16" s="1"/>
  <c r="J221" i="16" s="1"/>
  <c r="J222" i="16" s="1"/>
  <c r="J223" i="16" s="1"/>
  <c r="J224" i="16" s="1"/>
  <c r="J225" i="16" s="1"/>
  <c r="J226" i="16" s="1"/>
  <c r="J227" i="16" s="1"/>
  <c r="J228" i="16" s="1"/>
  <c r="J229" i="16" s="1"/>
  <c r="J230" i="16" s="1"/>
  <c r="J231" i="16" s="1"/>
  <c r="J232" i="16" s="1"/>
  <c r="J233" i="16" s="1"/>
  <c r="J234" i="16" s="1"/>
  <c r="J235" i="16" s="1"/>
  <c r="J236" i="16" s="1"/>
  <c r="J237" i="16" s="1"/>
  <c r="J238" i="16" s="1"/>
  <c r="J239" i="16" s="1"/>
  <c r="J240" i="16" s="1"/>
  <c r="J241" i="16" s="1"/>
  <c r="J242" i="16" s="1"/>
  <c r="J243" i="16" s="1"/>
  <c r="J244" i="16" s="1"/>
  <c r="J245" i="16" s="1"/>
  <c r="J246" i="16" s="1"/>
  <c r="J247" i="16" s="1"/>
  <c r="J248" i="16" s="1"/>
  <c r="J249" i="16" s="1"/>
  <c r="J250" i="16" s="1"/>
  <c r="J251" i="16" s="1"/>
  <c r="J252" i="16" s="1"/>
  <c r="J253" i="16" s="1"/>
  <c r="J254" i="16" s="1"/>
  <c r="J255" i="16" s="1"/>
  <c r="J256" i="16" s="1"/>
  <c r="J257" i="16" s="1"/>
  <c r="J258" i="16" s="1"/>
  <c r="J259" i="16" s="1"/>
  <c r="J260" i="16" s="1"/>
  <c r="J261" i="16" s="1"/>
  <c r="J262" i="16" s="1"/>
  <c r="J263" i="16" s="1"/>
  <c r="J264" i="16" s="1"/>
  <c r="J265" i="16" s="1"/>
  <c r="J266" i="16" s="1"/>
  <c r="J267" i="16" s="1"/>
  <c r="J268" i="16" s="1"/>
  <c r="J269" i="16" s="1"/>
  <c r="J270" i="16" s="1"/>
  <c r="J271" i="16" s="1"/>
  <c r="J272" i="16" s="1"/>
  <c r="J273" i="16" s="1"/>
  <c r="J274" i="16" s="1"/>
  <c r="J275" i="16" s="1"/>
  <c r="J276" i="16" s="1"/>
  <c r="J277" i="16" s="1"/>
  <c r="J278" i="16" s="1"/>
  <c r="J279" i="16" s="1"/>
  <c r="J280" i="16" s="1"/>
  <c r="J281" i="16" s="1"/>
  <c r="J282" i="16" s="1"/>
  <c r="J283" i="16" s="1"/>
  <c r="J284" i="16" s="1"/>
  <c r="J285" i="16" s="1"/>
  <c r="J286" i="16" s="1"/>
  <c r="J287" i="16" s="1"/>
  <c r="J288" i="16" s="1"/>
  <c r="J289" i="16" s="1"/>
  <c r="J290" i="16" s="1"/>
  <c r="J291" i="16" s="1"/>
  <c r="J292" i="16" s="1"/>
  <c r="J293" i="16" s="1"/>
  <c r="J294" i="16" s="1"/>
  <c r="J295" i="16" s="1"/>
  <c r="J296" i="16" s="1"/>
  <c r="J297" i="16" s="1"/>
  <c r="J298" i="16" s="1"/>
  <c r="J299" i="16" s="1"/>
  <c r="J300" i="16" s="1"/>
  <c r="J301" i="16" s="1"/>
  <c r="J302" i="16" s="1"/>
  <c r="J303" i="16" s="1"/>
  <c r="J304" i="16" s="1"/>
  <c r="J305" i="16" s="1"/>
  <c r="J6" i="19"/>
  <c r="J7" i="19" s="1"/>
  <c r="J8" i="19" s="1"/>
  <c r="J9" i="19" s="1"/>
  <c r="J10" i="19" s="1"/>
  <c r="J11" i="19" s="1"/>
  <c r="J12" i="19" s="1"/>
  <c r="J13" i="19" s="1"/>
  <c r="J14" i="19" s="1"/>
  <c r="J15" i="19" s="1"/>
  <c r="J16" i="19" s="1"/>
  <c r="J17" i="19" s="1"/>
  <c r="J18" i="19" s="1"/>
  <c r="J19" i="19" s="1"/>
  <c r="J20" i="19" s="1"/>
  <c r="J21" i="19" s="1"/>
  <c r="J22" i="19" s="1"/>
  <c r="J23" i="19" s="1"/>
  <c r="J24" i="19" s="1"/>
  <c r="J25" i="19" s="1"/>
  <c r="J26" i="19" s="1"/>
  <c r="J27" i="19" s="1"/>
  <c r="J28" i="19" s="1"/>
  <c r="J29" i="19" s="1"/>
  <c r="J30" i="19" s="1"/>
  <c r="J31" i="19" s="1"/>
  <c r="J32" i="19" s="1"/>
  <c r="J33" i="19" s="1"/>
  <c r="J34" i="19" s="1"/>
  <c r="J35" i="19" s="1"/>
  <c r="J36" i="19" s="1"/>
  <c r="J37" i="19" s="1"/>
  <c r="J38" i="19" s="1"/>
  <c r="J39" i="19" s="1"/>
  <c r="J40" i="19" s="1"/>
  <c r="J41" i="19" s="1"/>
  <c r="J42" i="19" s="1"/>
  <c r="J43" i="19" s="1"/>
  <c r="J44" i="19" s="1"/>
  <c r="J45" i="19" s="1"/>
  <c r="J46" i="19" s="1"/>
  <c r="J47" i="19" s="1"/>
  <c r="J48" i="19" s="1"/>
  <c r="J49" i="19" s="1"/>
  <c r="J50" i="19" s="1"/>
  <c r="J51" i="19" s="1"/>
  <c r="J52" i="19" s="1"/>
  <c r="J53" i="19" s="1"/>
  <c r="J54" i="19" s="1"/>
  <c r="J55" i="19" s="1"/>
  <c r="J56" i="19" s="1"/>
  <c r="J57" i="19" s="1"/>
  <c r="J58" i="19" s="1"/>
  <c r="J59" i="19" s="1"/>
  <c r="J60" i="19" s="1"/>
  <c r="J61" i="19" s="1"/>
  <c r="J62" i="19" s="1"/>
  <c r="J63" i="19" s="1"/>
  <c r="J64" i="19" s="1"/>
  <c r="J65" i="19" s="1"/>
  <c r="J66" i="19" s="1"/>
  <c r="J67" i="19" s="1"/>
  <c r="J68" i="19" s="1"/>
  <c r="J69" i="19" s="1"/>
  <c r="J70" i="19" s="1"/>
  <c r="J71" i="19" s="1"/>
  <c r="J72" i="19" s="1"/>
  <c r="J73" i="19" s="1"/>
  <c r="J74" i="19" s="1"/>
  <c r="J75" i="19" s="1"/>
  <c r="J76" i="19" s="1"/>
  <c r="J77" i="19" s="1"/>
  <c r="J78" i="19" s="1"/>
  <c r="J79" i="19" s="1"/>
  <c r="J80" i="19" s="1"/>
  <c r="J81" i="19" s="1"/>
  <c r="J82" i="19" s="1"/>
  <c r="J83" i="19" s="1"/>
  <c r="J84" i="19" s="1"/>
  <c r="J85" i="19" s="1"/>
  <c r="J86" i="19" s="1"/>
  <c r="J87" i="19" s="1"/>
  <c r="J88" i="19" s="1"/>
  <c r="J89" i="19" s="1"/>
  <c r="J90" i="19" s="1"/>
  <c r="J91" i="19" s="1"/>
  <c r="J92" i="19" s="1"/>
  <c r="J93" i="19" s="1"/>
  <c r="J94" i="19" s="1"/>
  <c r="J95" i="19" s="1"/>
  <c r="J96" i="19" s="1"/>
  <c r="J97" i="19" s="1"/>
  <c r="J98" i="19" s="1"/>
  <c r="J99" i="19" s="1"/>
  <c r="J100" i="19" s="1"/>
  <c r="J101" i="19" s="1"/>
  <c r="J102" i="19" s="1"/>
  <c r="J103" i="19" s="1"/>
  <c r="J104" i="19" s="1"/>
  <c r="J105" i="19" s="1"/>
  <c r="J106" i="19" s="1"/>
  <c r="J107" i="19" s="1"/>
  <c r="J108" i="19" s="1"/>
  <c r="J109" i="19" s="1"/>
  <c r="J110" i="19" s="1"/>
  <c r="J111" i="19" s="1"/>
  <c r="J112" i="19" s="1"/>
  <c r="J113" i="19" s="1"/>
  <c r="J114" i="19" s="1"/>
  <c r="J115" i="19" s="1"/>
  <c r="J116" i="19" s="1"/>
  <c r="J117" i="19" s="1"/>
  <c r="J118" i="19" s="1"/>
  <c r="J119" i="19" s="1"/>
  <c r="J120" i="19" s="1"/>
  <c r="J121" i="19" s="1"/>
  <c r="J122" i="19" s="1"/>
  <c r="J123" i="19" s="1"/>
  <c r="J124" i="19" s="1"/>
  <c r="J125" i="19" s="1"/>
  <c r="J126" i="19" s="1"/>
  <c r="J127" i="19" s="1"/>
  <c r="J128" i="19" s="1"/>
  <c r="J129" i="19" s="1"/>
  <c r="J130" i="19" s="1"/>
  <c r="J131" i="19" s="1"/>
  <c r="J132" i="19" s="1"/>
  <c r="J133" i="19" s="1"/>
  <c r="J134" i="19" s="1"/>
  <c r="J135" i="19" s="1"/>
  <c r="J136" i="19" s="1"/>
  <c r="J137" i="19" s="1"/>
  <c r="J138" i="19" s="1"/>
  <c r="J139" i="19" s="1"/>
  <c r="J140" i="19" s="1"/>
  <c r="J141" i="19" s="1"/>
  <c r="J142" i="19" s="1"/>
  <c r="J143" i="19" s="1"/>
  <c r="J144" i="19" s="1"/>
  <c r="J145" i="19" s="1"/>
  <c r="J146" i="19" s="1"/>
  <c r="J147" i="19" s="1"/>
  <c r="J148" i="19" s="1"/>
  <c r="J149" i="19" s="1"/>
  <c r="J150" i="19" s="1"/>
  <c r="J151" i="19" s="1"/>
  <c r="J152" i="19" s="1"/>
  <c r="J153" i="19" s="1"/>
  <c r="J154" i="19" s="1"/>
  <c r="J155" i="19" s="1"/>
  <c r="J156" i="19" s="1"/>
  <c r="J157" i="19" s="1"/>
  <c r="J158" i="19" s="1"/>
  <c r="J159" i="19" s="1"/>
  <c r="J160" i="19" s="1"/>
  <c r="J161" i="19" s="1"/>
  <c r="J162" i="19" s="1"/>
  <c r="J163" i="19" s="1"/>
  <c r="J164" i="19" s="1"/>
  <c r="J165" i="19" s="1"/>
  <c r="J166" i="19" s="1"/>
  <c r="J167" i="19" s="1"/>
  <c r="J168" i="19" s="1"/>
  <c r="J169" i="19" s="1"/>
  <c r="J170" i="19" s="1"/>
  <c r="J171" i="19" s="1"/>
  <c r="J172" i="19" s="1"/>
  <c r="J173" i="19" s="1"/>
  <c r="J174" i="19" s="1"/>
  <c r="J175" i="19" s="1"/>
  <c r="J176" i="19" s="1"/>
  <c r="J177" i="19" s="1"/>
  <c r="J178" i="19" s="1"/>
  <c r="J179" i="19" s="1"/>
  <c r="J180" i="19" s="1"/>
  <c r="J181" i="19" s="1"/>
  <c r="J182" i="19" s="1"/>
  <c r="J183" i="19" s="1"/>
  <c r="J184" i="19" s="1"/>
  <c r="J185" i="19" s="1"/>
  <c r="J186" i="19" s="1"/>
  <c r="J187" i="19" s="1"/>
  <c r="J188" i="19" s="1"/>
  <c r="J189" i="19" s="1"/>
  <c r="J190" i="19" s="1"/>
  <c r="J191" i="19" s="1"/>
  <c r="J192" i="19" s="1"/>
  <c r="J193" i="19" s="1"/>
  <c r="J194" i="19" s="1"/>
  <c r="J195" i="19" s="1"/>
  <c r="J196" i="19" s="1"/>
  <c r="J197" i="19" s="1"/>
  <c r="J198" i="19" s="1"/>
  <c r="J199" i="19" s="1"/>
  <c r="J200" i="19" s="1"/>
  <c r="J201" i="19" s="1"/>
  <c r="J202" i="19" s="1"/>
  <c r="J203" i="19" s="1"/>
  <c r="J204" i="19" s="1"/>
  <c r="J205" i="19" s="1"/>
  <c r="J206" i="19" s="1"/>
  <c r="J207" i="19" s="1"/>
  <c r="J208" i="19" s="1"/>
  <c r="J209" i="19" s="1"/>
  <c r="J210" i="19" s="1"/>
  <c r="J211" i="19" s="1"/>
  <c r="J212" i="19" s="1"/>
  <c r="J213" i="19" s="1"/>
  <c r="J214" i="19" s="1"/>
  <c r="J215" i="19" s="1"/>
  <c r="J216" i="19" s="1"/>
  <c r="J217" i="19" s="1"/>
  <c r="J218" i="19" s="1"/>
  <c r="J219" i="19" s="1"/>
  <c r="J220" i="19" s="1"/>
  <c r="J221" i="19" s="1"/>
  <c r="J222" i="19" s="1"/>
  <c r="J223" i="19" s="1"/>
  <c r="J224" i="19" s="1"/>
  <c r="J225" i="19" s="1"/>
  <c r="J226" i="19" s="1"/>
  <c r="J227" i="19" s="1"/>
  <c r="J228" i="19" s="1"/>
  <c r="J229" i="19" s="1"/>
  <c r="J230" i="19" s="1"/>
  <c r="J231" i="19" s="1"/>
  <c r="J232" i="19" s="1"/>
  <c r="J233" i="19" s="1"/>
  <c r="J234" i="19" s="1"/>
  <c r="J235" i="19" s="1"/>
  <c r="J236" i="19" s="1"/>
  <c r="J237" i="19" s="1"/>
  <c r="J238" i="19" s="1"/>
  <c r="J239" i="19" s="1"/>
  <c r="J240" i="19" s="1"/>
  <c r="J241" i="19" s="1"/>
  <c r="J242" i="19" s="1"/>
  <c r="J243" i="19" s="1"/>
  <c r="J244" i="19" s="1"/>
  <c r="J245" i="19" s="1"/>
  <c r="J246" i="19" s="1"/>
  <c r="J247" i="19" s="1"/>
  <c r="J248" i="19" s="1"/>
  <c r="J249" i="19" s="1"/>
  <c r="J250" i="19" s="1"/>
  <c r="J251" i="19" s="1"/>
  <c r="J252" i="19" s="1"/>
  <c r="J253" i="19" s="1"/>
  <c r="J254" i="19" s="1"/>
  <c r="J255" i="19" s="1"/>
  <c r="J256" i="19" s="1"/>
  <c r="J257" i="19" s="1"/>
  <c r="J258" i="19" s="1"/>
  <c r="J259" i="19" s="1"/>
  <c r="J3" i="19"/>
  <c r="J4" i="19" s="1"/>
  <c r="J5" i="19" s="1"/>
  <c r="D774" i="11"/>
  <c r="D773" i="11"/>
  <c r="D772" i="11"/>
  <c r="D771" i="11"/>
  <c r="I122" i="19" s="1"/>
  <c r="J3" i="14"/>
  <c r="J4" i="14" s="1"/>
  <c r="J5" i="14" s="1"/>
  <c r="J6" i="14" s="1"/>
  <c r="J7" i="14" s="1"/>
  <c r="J8" i="14" s="1"/>
  <c r="J9" i="14" s="1"/>
  <c r="J10" i="14" s="1"/>
  <c r="J11" i="14" s="1"/>
  <c r="J12" i="14" s="1"/>
  <c r="J13" i="14" s="1"/>
  <c r="J14" i="14" s="1"/>
  <c r="J15" i="14" s="1"/>
  <c r="J16" i="14" s="1"/>
  <c r="J17" i="14" s="1"/>
  <c r="J18" i="14" s="1"/>
  <c r="J19" i="14" s="1"/>
  <c r="J20" i="14" s="1"/>
  <c r="J21" i="14" s="1"/>
  <c r="J22" i="14" s="1"/>
  <c r="J23" i="14" s="1"/>
  <c r="J24" i="14" s="1"/>
  <c r="J25" i="14" s="1"/>
  <c r="J26" i="14" s="1"/>
  <c r="J27" i="14" s="1"/>
  <c r="J28" i="14" s="1"/>
  <c r="J29" i="14" s="1"/>
  <c r="J30" i="14" s="1"/>
  <c r="J31" i="14" s="1"/>
  <c r="J32" i="14" s="1"/>
  <c r="J33" i="14" s="1"/>
  <c r="J34" i="14" s="1"/>
  <c r="J35" i="14" s="1"/>
  <c r="J36" i="14" s="1"/>
  <c r="J37" i="14" s="1"/>
  <c r="J38" i="14" s="1"/>
  <c r="J39" i="14" s="1"/>
  <c r="J40" i="14" s="1"/>
  <c r="J41" i="14" s="1"/>
  <c r="J42" i="14" s="1"/>
  <c r="J43" i="14" s="1"/>
  <c r="J44" i="14" s="1"/>
  <c r="J45" i="14" s="1"/>
  <c r="J46" i="14" s="1"/>
  <c r="J47" i="14" s="1"/>
  <c r="J48" i="14" s="1"/>
  <c r="J49" i="14" s="1"/>
  <c r="J50" i="14" s="1"/>
  <c r="J51" i="14" s="1"/>
  <c r="J52" i="14" s="1"/>
  <c r="J53" i="14" s="1"/>
  <c r="J54" i="14" s="1"/>
  <c r="J55" i="14" s="1"/>
  <c r="J56" i="14" s="1"/>
  <c r="J57" i="14" s="1"/>
  <c r="J58" i="14" s="1"/>
  <c r="J59" i="14" s="1"/>
  <c r="J60" i="14" s="1"/>
  <c r="J61" i="14" s="1"/>
  <c r="J62" i="14" s="1"/>
  <c r="J63" i="14" s="1"/>
  <c r="J64" i="14" s="1"/>
  <c r="J65" i="14" s="1"/>
  <c r="J66" i="14" s="1"/>
  <c r="J67" i="14" s="1"/>
  <c r="J68" i="14" s="1"/>
  <c r="J69" i="14" s="1"/>
  <c r="J70" i="14" s="1"/>
  <c r="J71" i="14" s="1"/>
  <c r="J72" i="14" s="1"/>
  <c r="J73" i="14" s="1"/>
  <c r="J74" i="14" s="1"/>
  <c r="J75" i="14" s="1"/>
  <c r="J76" i="14" s="1"/>
  <c r="J77" i="14" s="1"/>
  <c r="J78" i="14" s="1"/>
  <c r="J79" i="14" s="1"/>
  <c r="J80" i="14" s="1"/>
  <c r="J81" i="14" s="1"/>
  <c r="J82" i="14" s="1"/>
  <c r="J83" i="14" s="1"/>
  <c r="J84" i="14" s="1"/>
  <c r="J85" i="14" s="1"/>
  <c r="J86" i="14" s="1"/>
  <c r="J87" i="14" s="1"/>
  <c r="J88" i="14" s="1"/>
  <c r="J89" i="14" s="1"/>
  <c r="J90" i="14" s="1"/>
  <c r="J91" i="14" s="1"/>
  <c r="J92" i="14" s="1"/>
  <c r="J93" i="14" s="1"/>
  <c r="J94" i="14" s="1"/>
  <c r="J95" i="14" s="1"/>
  <c r="J96" i="14" s="1"/>
  <c r="J97" i="14" s="1"/>
  <c r="J98" i="14" s="1"/>
  <c r="J99" i="14" s="1"/>
  <c r="J100" i="14" s="1"/>
  <c r="J101" i="14" s="1"/>
  <c r="J102" i="14" s="1"/>
  <c r="J103" i="14" s="1"/>
  <c r="J104" i="14" s="1"/>
  <c r="J105" i="14" s="1"/>
  <c r="J106" i="14" s="1"/>
  <c r="J107" i="14" s="1"/>
  <c r="J108" i="14" s="1"/>
  <c r="J109" i="14" s="1"/>
  <c r="J110" i="14" s="1"/>
  <c r="J111" i="14" s="1"/>
  <c r="J112" i="14" s="1"/>
  <c r="J113" i="14" s="1"/>
  <c r="J114" i="14" s="1"/>
  <c r="J115" i="14" s="1"/>
  <c r="J116" i="14" s="1"/>
  <c r="J117" i="14" s="1"/>
  <c r="J118" i="14" s="1"/>
  <c r="J119" i="14" s="1"/>
  <c r="J120" i="14" s="1"/>
  <c r="J121" i="14" s="1"/>
  <c r="J122" i="14" s="1"/>
  <c r="J123" i="14" s="1"/>
  <c r="J124" i="14" s="1"/>
  <c r="J125" i="14" s="1"/>
  <c r="J126" i="14" s="1"/>
  <c r="J127" i="14" s="1"/>
  <c r="J128" i="14" s="1"/>
  <c r="J129" i="14" s="1"/>
  <c r="J130" i="14" s="1"/>
  <c r="J131" i="14" s="1"/>
  <c r="J132" i="14" s="1"/>
  <c r="J133" i="14" s="1"/>
  <c r="J134" i="14" s="1"/>
  <c r="J135" i="14" s="1"/>
  <c r="J136" i="14" s="1"/>
  <c r="J137" i="14" s="1"/>
  <c r="J138" i="14" s="1"/>
  <c r="J139" i="14" s="1"/>
  <c r="J140" i="14" s="1"/>
  <c r="J141" i="14" s="1"/>
  <c r="J142" i="14" s="1"/>
  <c r="J143" i="14" s="1"/>
  <c r="J144" i="14" s="1"/>
  <c r="J145" i="14" s="1"/>
  <c r="J146" i="14" s="1"/>
  <c r="J147" i="14" s="1"/>
  <c r="J148" i="14" s="1"/>
  <c r="J149" i="14" s="1"/>
  <c r="J150" i="14" s="1"/>
  <c r="J151" i="14" s="1"/>
  <c r="J152" i="14" s="1"/>
  <c r="J153" i="14" s="1"/>
  <c r="J154" i="14" s="1"/>
  <c r="J155" i="14" s="1"/>
  <c r="J156" i="14" s="1"/>
  <c r="J157" i="14" s="1"/>
  <c r="J158" i="14" s="1"/>
  <c r="J159" i="14" s="1"/>
  <c r="J160" i="14" s="1"/>
  <c r="J161" i="14" s="1"/>
  <c r="J162" i="14" s="1"/>
  <c r="J163" i="14" s="1"/>
  <c r="J164" i="14" s="1"/>
  <c r="J165" i="14" s="1"/>
  <c r="J166" i="14" s="1"/>
  <c r="J167" i="14" s="1"/>
  <c r="J168" i="14" s="1"/>
  <c r="J169" i="14" s="1"/>
  <c r="J170" i="14" s="1"/>
  <c r="J171" i="14" s="1"/>
  <c r="J172" i="14" s="1"/>
  <c r="J173" i="14" s="1"/>
  <c r="J174" i="14" s="1"/>
  <c r="J175" i="14" s="1"/>
  <c r="J176" i="14" s="1"/>
  <c r="J177" i="14" s="1"/>
  <c r="J178" i="14" s="1"/>
  <c r="J179" i="14" s="1"/>
  <c r="J180" i="14" s="1"/>
  <c r="J181" i="14" s="1"/>
  <c r="J182" i="14" s="1"/>
  <c r="J183" i="14" s="1"/>
  <c r="J184" i="14" s="1"/>
  <c r="J185" i="14" s="1"/>
  <c r="J186" i="14" s="1"/>
  <c r="J187" i="14" s="1"/>
  <c r="J188" i="14" s="1"/>
  <c r="J189" i="14" s="1"/>
  <c r="J190" i="14" s="1"/>
  <c r="J191" i="14" s="1"/>
  <c r="J192" i="14" s="1"/>
  <c r="J193" i="14" s="1"/>
  <c r="J194" i="14" s="1"/>
  <c r="J195" i="14" s="1"/>
  <c r="J196" i="14" s="1"/>
  <c r="J197" i="14" s="1"/>
  <c r="J198" i="14" s="1"/>
  <c r="J199" i="14" s="1"/>
  <c r="J200" i="14" s="1"/>
  <c r="J201" i="14" s="1"/>
  <c r="J202" i="14" s="1"/>
  <c r="J203" i="14" s="1"/>
  <c r="J204" i="14" s="1"/>
  <c r="J205" i="14" s="1"/>
  <c r="J206" i="14" s="1"/>
  <c r="J207" i="14" s="1"/>
  <c r="J208" i="14" s="1"/>
  <c r="J209" i="14" s="1"/>
  <c r="J210" i="14" s="1"/>
  <c r="J211" i="14" s="1"/>
  <c r="J212" i="14" s="1"/>
  <c r="J213" i="14" s="1"/>
  <c r="J214" i="14" s="1"/>
  <c r="J215" i="14" s="1"/>
  <c r="J216" i="14" s="1"/>
  <c r="J217" i="14" s="1"/>
  <c r="J218" i="14" s="1"/>
  <c r="J219" i="14" s="1"/>
  <c r="J220" i="14" s="1"/>
  <c r="J221" i="14" s="1"/>
  <c r="J222" i="14" s="1"/>
  <c r="J223" i="14" s="1"/>
  <c r="J224" i="14" s="1"/>
  <c r="J225" i="14" s="1"/>
  <c r="J226" i="14" s="1"/>
  <c r="J227" i="14" s="1"/>
  <c r="J228" i="14" s="1"/>
  <c r="J229" i="14" s="1"/>
  <c r="J230" i="14" s="1"/>
  <c r="J231" i="14" s="1"/>
  <c r="J232" i="14" s="1"/>
  <c r="J233" i="14" s="1"/>
  <c r="J234" i="14" s="1"/>
  <c r="J235" i="14" s="1"/>
  <c r="J236" i="14" s="1"/>
  <c r="J237" i="14" s="1"/>
  <c r="J238" i="14" s="1"/>
  <c r="J239" i="14" s="1"/>
  <c r="J240" i="14" s="1"/>
  <c r="J241" i="14" s="1"/>
  <c r="J242" i="14" s="1"/>
  <c r="J243" i="14" s="1"/>
  <c r="J244" i="14" s="1"/>
  <c r="J245" i="14" s="1"/>
  <c r="J246" i="14" s="1"/>
  <c r="J247" i="14" s="1"/>
  <c r="J248" i="14" s="1"/>
  <c r="J249" i="14" s="1"/>
  <c r="J250" i="14" s="1"/>
  <c r="J251" i="14" s="1"/>
  <c r="J252" i="14" s="1"/>
  <c r="J253" i="14" s="1"/>
  <c r="J254" i="14" s="1"/>
  <c r="J255" i="14" s="1"/>
  <c r="J256" i="14" s="1"/>
  <c r="J257" i="14" s="1"/>
  <c r="J258" i="14" s="1"/>
  <c r="J259" i="14" s="1"/>
  <c r="J260" i="14" s="1"/>
  <c r="J261" i="14" s="1"/>
  <c r="J262" i="14" s="1"/>
  <c r="J263" i="14" s="1"/>
  <c r="D775" i="11"/>
  <c r="D776" i="11"/>
  <c r="D10" i="11"/>
  <c r="D11" i="11"/>
  <c r="I4" i="14" s="1"/>
  <c r="D12" i="11"/>
  <c r="D16" i="11"/>
  <c r="D18" i="11"/>
  <c r="D13" i="11"/>
  <c r="D17" i="11"/>
  <c r="D15" i="11"/>
  <c r="D19" i="11"/>
  <c r="D14" i="11"/>
  <c r="D21" i="11"/>
  <c r="D20" i="11"/>
  <c r="D33" i="11"/>
  <c r="D26" i="11"/>
  <c r="D27" i="11"/>
  <c r="D22" i="11"/>
  <c r="D31" i="11"/>
  <c r="D34" i="11"/>
  <c r="D28" i="11"/>
  <c r="D23" i="11"/>
  <c r="D35" i="11"/>
  <c r="D29" i="11"/>
  <c r="D24" i="11"/>
  <c r="D32" i="11"/>
  <c r="D36" i="11"/>
  <c r="D30" i="11"/>
  <c r="D25" i="11"/>
  <c r="D39" i="11"/>
  <c r="D40" i="11"/>
  <c r="D37" i="11"/>
  <c r="D38" i="11"/>
  <c r="D41" i="11"/>
  <c r="D42" i="11"/>
  <c r="D43" i="11"/>
  <c r="D44" i="11"/>
  <c r="D50" i="11"/>
  <c r="D45" i="11"/>
  <c r="I13" i="14" s="1"/>
  <c r="D47" i="11"/>
  <c r="D48" i="11"/>
  <c r="D51" i="11"/>
  <c r="D46" i="11"/>
  <c r="D49" i="11"/>
  <c r="D54" i="11"/>
  <c r="D55" i="11"/>
  <c r="D52" i="11"/>
  <c r="I18" i="19" s="1"/>
  <c r="D53" i="11"/>
  <c r="D56" i="11"/>
  <c r="I21" i="17" s="1"/>
  <c r="D57" i="11"/>
  <c r="D58" i="11"/>
  <c r="D59" i="11"/>
  <c r="D60" i="11"/>
  <c r="D61" i="11"/>
  <c r="D62" i="11"/>
  <c r="D63" i="11"/>
  <c r="D77" i="11"/>
  <c r="D73" i="11"/>
  <c r="D70" i="11"/>
  <c r="D64" i="11"/>
  <c r="D66" i="11"/>
  <c r="D71" i="11"/>
  <c r="D75" i="11"/>
  <c r="D69" i="11"/>
  <c r="D74" i="11"/>
  <c r="D67" i="11"/>
  <c r="D76" i="11"/>
  <c r="D72" i="11"/>
  <c r="D65" i="11"/>
  <c r="D68" i="11"/>
  <c r="D81" i="11"/>
  <c r="D79" i="11"/>
  <c r="D84" i="11"/>
  <c r="D82" i="11"/>
  <c r="D80" i="11"/>
  <c r="D83" i="11"/>
  <c r="D78" i="11"/>
  <c r="D85" i="11"/>
  <c r="I29" i="14" s="1"/>
  <c r="D86" i="11"/>
  <c r="D87" i="11"/>
  <c r="D88" i="11"/>
  <c r="I54" i="16" s="1"/>
  <c r="D90" i="11"/>
  <c r="D89" i="11"/>
  <c r="I33" i="14" s="1"/>
  <c r="D91" i="11"/>
  <c r="D93" i="11"/>
  <c r="D92" i="11"/>
  <c r="D96" i="11"/>
  <c r="D94" i="11"/>
  <c r="I38" i="14" s="1"/>
  <c r="D97" i="11"/>
  <c r="D98" i="11"/>
  <c r="D95" i="11"/>
  <c r="D105" i="11"/>
  <c r="D100" i="11"/>
  <c r="D101" i="11"/>
  <c r="D102" i="11"/>
  <c r="D107" i="11"/>
  <c r="D103" i="11"/>
  <c r="D104" i="11"/>
  <c r="D106" i="11"/>
  <c r="D99" i="11"/>
  <c r="D109" i="11"/>
  <c r="D108" i="11"/>
  <c r="I42" i="19" s="1"/>
  <c r="D110" i="11"/>
  <c r="D111" i="11"/>
  <c r="D112" i="11"/>
  <c r="D116" i="11"/>
  <c r="D117" i="11"/>
  <c r="D119" i="11"/>
  <c r="D122" i="11"/>
  <c r="D120" i="11"/>
  <c r="D123" i="11"/>
  <c r="D113" i="11"/>
  <c r="I47" i="14" s="1"/>
  <c r="D114" i="11"/>
  <c r="D121" i="11"/>
  <c r="D124" i="11"/>
  <c r="D118" i="11"/>
  <c r="D115" i="11"/>
  <c r="D125" i="11"/>
  <c r="D127" i="11"/>
  <c r="D126" i="11"/>
  <c r="I48" i="14" s="1"/>
  <c r="D128" i="11"/>
  <c r="D129" i="11"/>
  <c r="D138" i="11"/>
  <c r="D135" i="11"/>
  <c r="D133" i="11"/>
  <c r="D132" i="11"/>
  <c r="D136" i="11"/>
  <c r="D130" i="11"/>
  <c r="I56" i="14" s="1"/>
  <c r="D140" i="11"/>
  <c r="D139" i="11"/>
  <c r="D134" i="11"/>
  <c r="D137" i="11"/>
  <c r="D131" i="11"/>
  <c r="D152" i="11"/>
  <c r="D144" i="11"/>
  <c r="D141" i="11"/>
  <c r="I59" i="17" s="1"/>
  <c r="D142" i="11"/>
  <c r="D146" i="11"/>
  <c r="D151" i="11"/>
  <c r="D145" i="11"/>
  <c r="D147" i="11"/>
  <c r="D148" i="11"/>
  <c r="D143" i="11"/>
  <c r="D149" i="11"/>
  <c r="D150" i="11"/>
  <c r="D161" i="11"/>
  <c r="D154" i="11"/>
  <c r="D158" i="11"/>
  <c r="D162" i="11"/>
  <c r="D165" i="11"/>
  <c r="D163" i="11"/>
  <c r="D155" i="11"/>
  <c r="D159" i="11"/>
  <c r="D153" i="11"/>
  <c r="I60" i="14" s="1"/>
  <c r="D164" i="11"/>
  <c r="D156" i="11"/>
  <c r="D160" i="11"/>
  <c r="D157" i="11"/>
  <c r="D177" i="11"/>
  <c r="D167" i="11"/>
  <c r="D168" i="11"/>
  <c r="D169" i="11"/>
  <c r="D176" i="11"/>
  <c r="D178" i="11"/>
  <c r="D170" i="11"/>
  <c r="D171" i="11"/>
  <c r="D172" i="11"/>
  <c r="D179" i="11"/>
  <c r="D173" i="11"/>
  <c r="D174" i="11"/>
  <c r="D175" i="11"/>
  <c r="D166" i="11"/>
  <c r="I62" i="14" s="1"/>
  <c r="D181" i="11"/>
  <c r="D183" i="11"/>
  <c r="D182" i="11"/>
  <c r="D180" i="11"/>
  <c r="I67" i="14" s="1"/>
  <c r="D185" i="11"/>
  <c r="D190" i="11"/>
  <c r="D196" i="11"/>
  <c r="D194" i="11"/>
  <c r="D186" i="11"/>
  <c r="D191" i="11"/>
  <c r="D187" i="11"/>
  <c r="D188" i="11"/>
  <c r="D192" i="11"/>
  <c r="D195" i="11"/>
  <c r="D189" i="11"/>
  <c r="D184" i="11"/>
  <c r="I71" i="14" s="1"/>
  <c r="D193" i="11"/>
  <c r="D198" i="11"/>
  <c r="D200" i="11"/>
  <c r="D201" i="11"/>
  <c r="D199" i="11"/>
  <c r="D197" i="11"/>
  <c r="D203" i="11"/>
  <c r="D205" i="11"/>
  <c r="D204" i="11"/>
  <c r="D202" i="11"/>
  <c r="D206" i="11"/>
  <c r="I74" i="19" s="1"/>
  <c r="D214" i="11"/>
  <c r="D207" i="11"/>
  <c r="D217" i="11"/>
  <c r="D208" i="11"/>
  <c r="D215" i="11"/>
  <c r="D209" i="11"/>
  <c r="D210" i="11"/>
  <c r="D211" i="11"/>
  <c r="D216" i="11"/>
  <c r="D212" i="11"/>
  <c r="D213" i="11"/>
  <c r="D218" i="11"/>
  <c r="D225" i="11"/>
  <c r="D223" i="11"/>
  <c r="D219" i="11"/>
  <c r="I78" i="14" s="1"/>
  <c r="D226" i="11"/>
  <c r="D224" i="11"/>
  <c r="D220" i="11"/>
  <c r="D227" i="11"/>
  <c r="D221" i="11"/>
  <c r="D222" i="11"/>
  <c r="D228" i="11"/>
  <c r="D231" i="11"/>
  <c r="D235" i="11"/>
  <c r="D234" i="11"/>
  <c r="D229" i="11"/>
  <c r="D232" i="11"/>
  <c r="D236" i="11"/>
  <c r="D237" i="11"/>
  <c r="D230" i="11"/>
  <c r="D233" i="11"/>
  <c r="D238" i="11"/>
  <c r="D239" i="11"/>
  <c r="D241" i="11"/>
  <c r="D240" i="11"/>
  <c r="I86" i="14" s="1"/>
  <c r="D247" i="11"/>
  <c r="D246" i="11"/>
  <c r="D242" i="11"/>
  <c r="I89" i="14" s="1"/>
  <c r="D243" i="11"/>
  <c r="D248" i="11"/>
  <c r="D249" i="11"/>
  <c r="D244" i="11"/>
  <c r="D245" i="11"/>
  <c r="D255" i="11"/>
  <c r="D250" i="11"/>
  <c r="D254" i="11"/>
  <c r="D252" i="11"/>
  <c r="D256" i="11"/>
  <c r="D251" i="11"/>
  <c r="D253" i="11"/>
  <c r="D261" i="11"/>
  <c r="D259" i="11"/>
  <c r="D260" i="11"/>
  <c r="D257" i="11"/>
  <c r="I97" i="14" s="1"/>
  <c r="D262" i="11"/>
  <c r="D258" i="11"/>
  <c r="D263" i="11"/>
  <c r="D265" i="11"/>
  <c r="D264" i="11"/>
  <c r="I104" i="14" s="1"/>
  <c r="D266" i="11"/>
  <c r="I101" i="14" s="1"/>
  <c r="D269" i="11"/>
  <c r="D268" i="11"/>
  <c r="D270" i="11"/>
  <c r="D267" i="11"/>
  <c r="D271" i="11"/>
  <c r="I108" i="14" s="1"/>
  <c r="D275" i="11"/>
  <c r="D279" i="11"/>
  <c r="D273" i="11"/>
  <c r="D276" i="11"/>
  <c r="D280" i="11"/>
  <c r="D274" i="11"/>
  <c r="D272" i="11"/>
  <c r="D277" i="11"/>
  <c r="D278" i="11"/>
  <c r="D281" i="11"/>
  <c r="I110" i="14" s="1"/>
  <c r="D284" i="11"/>
  <c r="D286" i="11"/>
  <c r="D285" i="11"/>
  <c r="D283" i="11"/>
  <c r="D282" i="11"/>
  <c r="D287" i="11"/>
  <c r="I116" i="14" s="1"/>
  <c r="D291" i="11"/>
  <c r="D289" i="11"/>
  <c r="D290" i="11"/>
  <c r="D288" i="11"/>
  <c r="D301" i="11"/>
  <c r="D299" i="11"/>
  <c r="D296" i="11"/>
  <c r="D292" i="11"/>
  <c r="I117" i="14" s="1"/>
  <c r="D293" i="11"/>
  <c r="D302" i="11"/>
  <c r="D300" i="11"/>
  <c r="D297" i="11"/>
  <c r="D298" i="11"/>
  <c r="D294" i="11"/>
  <c r="D295" i="11"/>
  <c r="D303" i="11"/>
  <c r="I124" i="14" s="1"/>
  <c r="D307" i="11"/>
  <c r="D309" i="11"/>
  <c r="D312" i="11"/>
  <c r="D304" i="11"/>
  <c r="D305" i="11"/>
  <c r="D308" i="11"/>
  <c r="D310" i="11"/>
  <c r="D311" i="11"/>
  <c r="D313" i="11"/>
  <c r="D306" i="11"/>
  <c r="D317" i="11"/>
  <c r="D316" i="11"/>
  <c r="D318" i="11"/>
  <c r="D315" i="11"/>
  <c r="D314" i="11"/>
  <c r="I236" i="14" s="1"/>
  <c r="D324" i="11"/>
  <c r="D326" i="11"/>
  <c r="D322" i="11"/>
  <c r="D319" i="11"/>
  <c r="D325" i="11"/>
  <c r="D323" i="11"/>
  <c r="D321" i="11"/>
  <c r="D320" i="11"/>
  <c r="D327" i="11"/>
  <c r="I127" i="19" s="1"/>
  <c r="D331" i="11"/>
  <c r="D336" i="11"/>
  <c r="D334" i="11"/>
  <c r="D328" i="11"/>
  <c r="D329" i="11"/>
  <c r="D332" i="11"/>
  <c r="D337" i="11"/>
  <c r="D335" i="11"/>
  <c r="D333" i="11"/>
  <c r="D330" i="11"/>
  <c r="D358" i="11"/>
  <c r="D342" i="11"/>
  <c r="D343" i="11"/>
  <c r="D344" i="11"/>
  <c r="D345" i="11"/>
  <c r="D338" i="11"/>
  <c r="I130" i="19" s="1"/>
  <c r="D359" i="11"/>
  <c r="D346" i="11"/>
  <c r="D347" i="11"/>
  <c r="D348" i="11"/>
  <c r="D357" i="11"/>
  <c r="D339" i="11"/>
  <c r="D360" i="11"/>
  <c r="D349" i="11"/>
  <c r="D350" i="11"/>
  <c r="D351" i="11"/>
  <c r="D355" i="11"/>
  <c r="D340" i="11"/>
  <c r="D361" i="11"/>
  <c r="D352" i="11"/>
  <c r="D353" i="11"/>
  <c r="D354" i="11"/>
  <c r="D356" i="11"/>
  <c r="D341" i="11"/>
  <c r="D364" i="11"/>
  <c r="D365" i="11"/>
  <c r="D366" i="11"/>
  <c r="D367" i="11"/>
  <c r="D362" i="11"/>
  <c r="I139" i="14" s="1"/>
  <c r="D374" i="11"/>
  <c r="D377" i="11"/>
  <c r="D376" i="11"/>
  <c r="D368" i="11"/>
  <c r="D369" i="11"/>
  <c r="D370" i="11"/>
  <c r="D371" i="11"/>
  <c r="D363" i="11"/>
  <c r="D375" i="11"/>
  <c r="D378" i="11"/>
  <c r="D372" i="11"/>
  <c r="D373" i="11"/>
  <c r="D386" i="11"/>
  <c r="D379" i="11"/>
  <c r="I145" i="14" s="1"/>
  <c r="D380" i="11"/>
  <c r="D387" i="11"/>
  <c r="D381" i="11"/>
  <c r="D382" i="11"/>
  <c r="D389" i="11"/>
  <c r="D383" i="11"/>
  <c r="D384" i="11"/>
  <c r="D388" i="11"/>
  <c r="D385" i="11"/>
  <c r="D390" i="11"/>
  <c r="I147" i="14" s="1"/>
  <c r="D405" i="11"/>
  <c r="D402" i="11"/>
  <c r="D394" i="11"/>
  <c r="D395" i="11"/>
  <c r="D396" i="11"/>
  <c r="D397" i="11"/>
  <c r="D391" i="11"/>
  <c r="D392" i="11"/>
  <c r="D406" i="11"/>
  <c r="D403" i="11"/>
  <c r="D398" i="11"/>
  <c r="D399" i="11"/>
  <c r="D400" i="11"/>
  <c r="D401" i="11"/>
  <c r="D404" i="11"/>
  <c r="D393" i="11"/>
  <c r="D407" i="11"/>
  <c r="D411" i="11"/>
  <c r="D408" i="11"/>
  <c r="I151" i="14" s="1"/>
  <c r="D409" i="11"/>
  <c r="D410" i="11"/>
  <c r="D412" i="11"/>
  <c r="D413" i="11"/>
  <c r="D415" i="11"/>
  <c r="D416" i="11"/>
  <c r="D423" i="11"/>
  <c r="D417" i="11"/>
  <c r="D418" i="11"/>
  <c r="D419" i="11"/>
  <c r="D424" i="11"/>
  <c r="D414" i="11"/>
  <c r="D420" i="11"/>
  <c r="D422" i="11"/>
  <c r="D421" i="11"/>
  <c r="D425" i="11"/>
  <c r="D426" i="11"/>
  <c r="D429" i="11"/>
  <c r="D428" i="11"/>
  <c r="D427" i="11"/>
  <c r="D430" i="11"/>
  <c r="I159" i="19" s="1"/>
  <c r="D433" i="11"/>
  <c r="D432" i="11"/>
  <c r="D431" i="11"/>
  <c r="D435" i="11"/>
  <c r="D436" i="11"/>
  <c r="D443" i="11"/>
  <c r="D437" i="11"/>
  <c r="D438" i="11"/>
  <c r="D434" i="11"/>
  <c r="I198" i="16" s="1"/>
  <c r="D444" i="11"/>
  <c r="D439" i="11"/>
  <c r="D440" i="11"/>
  <c r="D441" i="11"/>
  <c r="D442" i="11"/>
  <c r="D447" i="11"/>
  <c r="D449" i="11"/>
  <c r="D446" i="11"/>
  <c r="D448" i="11"/>
  <c r="D450" i="11"/>
  <c r="D445" i="11"/>
  <c r="I164" i="14" s="1"/>
  <c r="D453" i="11"/>
  <c r="D451" i="11"/>
  <c r="I167" i="17" s="1"/>
  <c r="D452" i="11"/>
  <c r="D455" i="11"/>
  <c r="D454" i="11"/>
  <c r="I206" i="16" s="1"/>
  <c r="D456" i="11"/>
  <c r="D457" i="11"/>
  <c r="I174" i="14" s="1"/>
  <c r="D459" i="11"/>
  <c r="D458" i="11"/>
  <c r="D461" i="11"/>
  <c r="D460" i="11"/>
  <c r="D463" i="11"/>
  <c r="D465" i="11"/>
  <c r="D464" i="11"/>
  <c r="D462" i="11"/>
  <c r="I214" i="16" s="1"/>
  <c r="D466" i="11"/>
  <c r="I180" i="14" s="1"/>
  <c r="D473" i="11"/>
  <c r="D476" i="11"/>
  <c r="D472" i="11"/>
  <c r="D467" i="11"/>
  <c r="D468" i="11"/>
  <c r="D469" i="11"/>
  <c r="D470" i="11"/>
  <c r="D478" i="11"/>
  <c r="D474" i="11"/>
  <c r="D475" i="11"/>
  <c r="D477" i="11"/>
  <c r="D471" i="11"/>
  <c r="D479" i="11"/>
  <c r="I188" i="14" s="1"/>
  <c r="D492" i="11"/>
  <c r="D497" i="11"/>
  <c r="D485" i="11"/>
  <c r="D502" i="11"/>
  <c r="D493" i="11"/>
  <c r="D489" i="11"/>
  <c r="D480" i="11"/>
  <c r="D498" i="11"/>
  <c r="D481" i="11"/>
  <c r="D494" i="11"/>
  <c r="D482" i="11"/>
  <c r="D499" i="11"/>
  <c r="D486" i="11"/>
  <c r="D488" i="11"/>
  <c r="D495" i="11"/>
  <c r="D490" i="11"/>
  <c r="D483" i="11"/>
  <c r="D500" i="11"/>
  <c r="D496" i="11"/>
  <c r="D491" i="11"/>
  <c r="D484" i="11"/>
  <c r="D501" i="11"/>
  <c r="D487" i="11"/>
  <c r="D519" i="11"/>
  <c r="D503" i="11"/>
  <c r="I191" i="14" s="1"/>
  <c r="D509" i="11"/>
  <c r="D512" i="11"/>
  <c r="D506" i="11"/>
  <c r="D513" i="11"/>
  <c r="D520" i="11"/>
  <c r="D504" i="11"/>
  <c r="D510" i="11"/>
  <c r="D514" i="11"/>
  <c r="D522" i="11"/>
  <c r="D507" i="11"/>
  <c r="D515" i="11"/>
  <c r="D521" i="11"/>
  <c r="D505" i="11"/>
  <c r="D511" i="11"/>
  <c r="D516" i="11"/>
  <c r="D518" i="11"/>
  <c r="D508" i="11"/>
  <c r="D517" i="11"/>
  <c r="D531" i="11"/>
  <c r="D532" i="11"/>
  <c r="D533" i="11"/>
  <c r="D527" i="11"/>
  <c r="D534" i="11"/>
  <c r="D535" i="11"/>
  <c r="D543" i="11"/>
  <c r="D523" i="11"/>
  <c r="I198" i="14" s="1"/>
  <c r="D524" i="11"/>
  <c r="D528" i="11"/>
  <c r="D542" i="11"/>
  <c r="D536" i="11"/>
  <c r="D537" i="11"/>
  <c r="D529" i="11"/>
  <c r="D538" i="11"/>
  <c r="D525" i="11"/>
  <c r="D526" i="11"/>
  <c r="D530" i="11"/>
  <c r="D539" i="11"/>
  <c r="D540" i="11"/>
  <c r="D541" i="11"/>
  <c r="D548" i="11"/>
  <c r="D545" i="11"/>
  <c r="D554" i="11"/>
  <c r="D544" i="11"/>
  <c r="D549" i="11"/>
  <c r="D546" i="11"/>
  <c r="D552" i="11"/>
  <c r="D550" i="11"/>
  <c r="D551" i="11"/>
  <c r="D547" i="11"/>
  <c r="D553" i="11"/>
  <c r="D561" i="11"/>
  <c r="D562" i="11"/>
  <c r="D563" i="11"/>
  <c r="D555" i="11"/>
  <c r="I246" i="16" s="1"/>
  <c r="D564" i="11"/>
  <c r="D557" i="11"/>
  <c r="D560" i="11"/>
  <c r="D556" i="11"/>
  <c r="D565" i="11"/>
  <c r="D558" i="11"/>
  <c r="D559" i="11"/>
  <c r="D566" i="11"/>
  <c r="D572" i="11"/>
  <c r="D567" i="11"/>
  <c r="I207" i="19" s="1"/>
  <c r="D568" i="11"/>
  <c r="D569" i="11"/>
  <c r="D573" i="11"/>
  <c r="D570" i="11"/>
  <c r="D574" i="11"/>
  <c r="D571" i="11"/>
  <c r="D577" i="11"/>
  <c r="D578" i="11"/>
  <c r="D575" i="11"/>
  <c r="I210" i="19" s="1"/>
  <c r="D576" i="11"/>
  <c r="D580" i="11"/>
  <c r="D579" i="11"/>
  <c r="D581" i="11"/>
  <c r="D584" i="11"/>
  <c r="D589" i="11"/>
  <c r="D590" i="11"/>
  <c r="D582" i="11"/>
  <c r="D585" i="11"/>
  <c r="D586" i="11"/>
  <c r="D587" i="11"/>
  <c r="D588" i="11"/>
  <c r="D583" i="11"/>
  <c r="D595" i="11"/>
  <c r="D593" i="11"/>
  <c r="D596" i="11"/>
  <c r="D591" i="11"/>
  <c r="I223" i="14" s="1"/>
  <c r="K223" i="14" s="1"/>
  <c r="D597" i="11"/>
  <c r="D594" i="11"/>
  <c r="D598" i="11"/>
  <c r="D592" i="11"/>
  <c r="D599" i="11"/>
  <c r="I223" i="19" s="1"/>
  <c r="D616" i="11"/>
  <c r="D647" i="11"/>
  <c r="D639" i="11"/>
  <c r="D623" i="11"/>
  <c r="D629" i="11"/>
  <c r="D600" i="11"/>
  <c r="D601" i="11"/>
  <c r="D602" i="11"/>
  <c r="D617" i="11"/>
  <c r="D648" i="11"/>
  <c r="D640" i="11"/>
  <c r="D644" i="11"/>
  <c r="D624" i="11"/>
  <c r="D603" i="11"/>
  <c r="D604" i="11"/>
  <c r="D605" i="11"/>
  <c r="D618" i="11"/>
  <c r="D649" i="11"/>
  <c r="D645" i="11"/>
  <c r="D641" i="11"/>
  <c r="D625" i="11"/>
  <c r="D630" i="11"/>
  <c r="D606" i="11"/>
  <c r="D607" i="11"/>
  <c r="D619" i="11"/>
  <c r="D650" i="11"/>
  <c r="D642" i="11"/>
  <c r="D631" i="11"/>
  <c r="D626" i="11"/>
  <c r="D608" i="11"/>
  <c r="D609" i="11"/>
  <c r="D632" i="11"/>
  <c r="D610" i="11"/>
  <c r="D651" i="11"/>
  <c r="D646" i="11"/>
  <c r="D643" i="11"/>
  <c r="D620" i="11"/>
  <c r="D621" i="11"/>
  <c r="D633" i="11"/>
  <c r="D634" i="11"/>
  <c r="D635" i="11"/>
  <c r="D627" i="11"/>
  <c r="D611" i="11"/>
  <c r="D612" i="11"/>
  <c r="D613" i="11"/>
  <c r="D622" i="11"/>
  <c r="D652" i="11"/>
  <c r="D636" i="11"/>
  <c r="D637" i="11"/>
  <c r="D638" i="11"/>
  <c r="D628" i="11"/>
  <c r="D614" i="11"/>
  <c r="D615" i="11"/>
  <c r="D663" i="11"/>
  <c r="D660" i="11"/>
  <c r="D654" i="11"/>
  <c r="D653" i="11"/>
  <c r="I231" i="19" s="1"/>
  <c r="D664" i="11"/>
  <c r="D655" i="11"/>
  <c r="D659" i="11"/>
  <c r="D665" i="11"/>
  <c r="D661" i="11"/>
  <c r="D656" i="11"/>
  <c r="D666" i="11"/>
  <c r="D657" i="11"/>
  <c r="D662" i="11"/>
  <c r="D658" i="11"/>
  <c r="D674" i="11"/>
  <c r="D669" i="11"/>
  <c r="D677" i="11"/>
  <c r="D671" i="11"/>
  <c r="D667" i="11"/>
  <c r="D675" i="11"/>
  <c r="D670" i="11"/>
  <c r="D678" i="11"/>
  <c r="D672" i="11"/>
  <c r="D673" i="11"/>
  <c r="D676" i="11"/>
  <c r="D668" i="11"/>
  <c r="D680" i="11"/>
  <c r="D679" i="11"/>
  <c r="I245" i="14" s="1"/>
  <c r="D681" i="11"/>
  <c r="D683" i="11"/>
  <c r="D684" i="11"/>
  <c r="D685" i="11"/>
  <c r="D686" i="11"/>
  <c r="D682" i="11"/>
  <c r="D695" i="11"/>
  <c r="D689" i="11"/>
  <c r="D690" i="11"/>
  <c r="D691" i="11"/>
  <c r="D687" i="11"/>
  <c r="D692" i="11"/>
  <c r="D688" i="11"/>
  <c r="D696" i="11"/>
  <c r="D693" i="11"/>
  <c r="D694" i="11"/>
  <c r="D697" i="11"/>
  <c r="I246" i="14" s="1"/>
  <c r="D698" i="11"/>
  <c r="D699" i="11"/>
  <c r="D700" i="11"/>
  <c r="D701" i="11"/>
  <c r="D702" i="11"/>
  <c r="D706" i="11"/>
  <c r="D704" i="11"/>
  <c r="D705" i="11"/>
  <c r="D710" i="11"/>
  <c r="D707" i="11"/>
  <c r="D712" i="11"/>
  <c r="D708" i="11"/>
  <c r="D711" i="11"/>
  <c r="D709" i="11"/>
  <c r="D703" i="11"/>
  <c r="D720" i="11"/>
  <c r="D717" i="11"/>
  <c r="D719" i="11"/>
  <c r="D718" i="11"/>
  <c r="D721" i="11"/>
  <c r="D716" i="11"/>
  <c r="D713" i="11"/>
  <c r="D714" i="11"/>
  <c r="D715" i="11"/>
  <c r="D730" i="11"/>
  <c r="D727" i="11"/>
  <c r="D723" i="11"/>
  <c r="D724" i="11"/>
  <c r="D725" i="11"/>
  <c r="D729" i="11"/>
  <c r="D728" i="11"/>
  <c r="D726" i="11"/>
  <c r="D722" i="11"/>
  <c r="D731" i="11"/>
  <c r="D736" i="11"/>
  <c r="D732" i="11"/>
  <c r="D734" i="11"/>
  <c r="D733" i="11"/>
  <c r="D735" i="11"/>
  <c r="D739" i="11"/>
  <c r="D740" i="11"/>
  <c r="D741" i="11"/>
  <c r="D742" i="11"/>
  <c r="D737" i="11"/>
  <c r="D738" i="11"/>
  <c r="D747" i="11"/>
  <c r="D744" i="11"/>
  <c r="D743" i="11"/>
  <c r="I294" i="16" s="1"/>
  <c r="D748" i="11"/>
  <c r="D745" i="11"/>
  <c r="D746" i="11"/>
  <c r="D750" i="11"/>
  <c r="D751" i="11"/>
  <c r="D749" i="11"/>
  <c r="D755" i="11"/>
  <c r="D753" i="11"/>
  <c r="D754" i="11"/>
  <c r="D752" i="11"/>
  <c r="D757" i="11"/>
  <c r="D758" i="11"/>
  <c r="D756" i="11"/>
  <c r="D761" i="11"/>
  <c r="D759" i="11"/>
  <c r="I253" i="14" s="1"/>
  <c r="D760" i="11"/>
  <c r="D765" i="11"/>
  <c r="I255" i="14" s="1"/>
  <c r="D766" i="11"/>
  <c r="D767" i="11"/>
  <c r="D768" i="11"/>
  <c r="D762" i="11"/>
  <c r="I259" i="14" s="1"/>
  <c r="D763" i="11"/>
  <c r="D764" i="11"/>
  <c r="D769" i="11"/>
  <c r="I258" i="19" s="1"/>
  <c r="D770" i="11"/>
  <c r="I259" i="19" s="1"/>
  <c r="D9" i="11"/>
  <c r="I2" i="14" s="1"/>
  <c r="D4" i="11"/>
  <c r="D8" i="11"/>
  <c r="D5" i="11"/>
  <c r="D6" i="11"/>
  <c r="D2" i="11"/>
  <c r="D3" i="11"/>
  <c r="D7" i="11"/>
  <c r="I105" i="14" l="1"/>
  <c r="I209" i="14"/>
  <c r="I178" i="19"/>
  <c r="K178" i="19" s="1"/>
  <c r="I201" i="14"/>
  <c r="K201" i="14" s="1"/>
  <c r="I137" i="14"/>
  <c r="K137" i="14" s="1"/>
  <c r="I146" i="19"/>
  <c r="K146" i="19" s="1"/>
  <c r="I249" i="14"/>
  <c r="I193" i="14"/>
  <c r="K193" i="14" s="1"/>
  <c r="I129" i="14"/>
  <c r="K129" i="14" s="1"/>
  <c r="I53" i="14"/>
  <c r="K53" i="14" s="1"/>
  <c r="I114" i="19"/>
  <c r="K114" i="19" s="1"/>
  <c r="I257" i="14"/>
  <c r="K257" i="14" s="1"/>
  <c r="I241" i="14"/>
  <c r="K241" i="14" s="1"/>
  <c r="I185" i="14"/>
  <c r="K185" i="14" s="1"/>
  <c r="I121" i="14"/>
  <c r="K121" i="14" s="1"/>
  <c r="I50" i="19"/>
  <c r="K50" i="19" s="1"/>
  <c r="I238" i="14"/>
  <c r="K238" i="14" s="1"/>
  <c r="I177" i="14"/>
  <c r="K177" i="14" s="1"/>
  <c r="I113" i="14"/>
  <c r="K113" i="14" s="1"/>
  <c r="I21" i="14"/>
  <c r="K21" i="14" s="1"/>
  <c r="I233" i="14"/>
  <c r="K233" i="14" s="1"/>
  <c r="I169" i="14"/>
  <c r="K169" i="14" s="1"/>
  <c r="I5" i="14"/>
  <c r="I230" i="16"/>
  <c r="K230" i="16" s="1"/>
  <c r="I230" i="14"/>
  <c r="K230" i="14" s="1"/>
  <c r="I161" i="14"/>
  <c r="K161" i="14" s="1"/>
  <c r="I242" i="19"/>
  <c r="I154" i="16"/>
  <c r="K154" i="16" s="1"/>
  <c r="I225" i="14"/>
  <c r="K225" i="14" s="1"/>
  <c r="I153" i="14"/>
  <c r="K153" i="14" s="1"/>
  <c r="I220" i="20"/>
  <c r="K220" i="20" s="1"/>
  <c r="I215" i="20"/>
  <c r="K215" i="20" s="1"/>
  <c r="I226" i="18"/>
  <c r="K226" i="18" s="1"/>
  <c r="I217" i="20"/>
  <c r="K217" i="20" s="1"/>
  <c r="I228" i="18"/>
  <c r="K228" i="18" s="1"/>
  <c r="I218" i="20"/>
  <c r="K218" i="20" s="1"/>
  <c r="I221" i="18"/>
  <c r="K221" i="18" s="1"/>
  <c r="I224" i="17"/>
  <c r="K224" i="17" s="1"/>
  <c r="I214" i="20"/>
  <c r="K214" i="20" s="1"/>
  <c r="I222" i="18"/>
  <c r="K222" i="18" s="1"/>
  <c r="I216" i="20"/>
  <c r="K216" i="20" s="1"/>
  <c r="I223" i="18"/>
  <c r="K223" i="18" s="1"/>
  <c r="I218" i="17"/>
  <c r="K218" i="17" s="1"/>
  <c r="I219" i="20"/>
  <c r="K219" i="20" s="1"/>
  <c r="I224" i="18"/>
  <c r="I219" i="17"/>
  <c r="I221" i="20"/>
  <c r="K221" i="20" s="1"/>
  <c r="I225" i="18"/>
  <c r="K225" i="18" s="1"/>
  <c r="I220" i="17"/>
  <c r="K220" i="17" s="1"/>
  <c r="I227" i="18"/>
  <c r="K227" i="18" s="1"/>
  <c r="I221" i="17"/>
  <c r="I222" i="17"/>
  <c r="K222" i="17" s="1"/>
  <c r="I263" i="16"/>
  <c r="K263" i="16" s="1"/>
  <c r="I211" i="19"/>
  <c r="K211" i="19" s="1"/>
  <c r="I223" i="17"/>
  <c r="K223" i="17" s="1"/>
  <c r="I256" i="16"/>
  <c r="K256" i="16" s="1"/>
  <c r="I212" i="19"/>
  <c r="K212" i="19" s="1"/>
  <c r="I257" i="16"/>
  <c r="K257" i="16" s="1"/>
  <c r="I213" i="19"/>
  <c r="K213" i="19" s="1"/>
  <c r="I258" i="16"/>
  <c r="K258" i="16" s="1"/>
  <c r="I214" i="19"/>
  <c r="K214" i="19" s="1"/>
  <c r="I259" i="16"/>
  <c r="K259" i="16" s="1"/>
  <c r="I260" i="16"/>
  <c r="K260" i="16" s="1"/>
  <c r="I216" i="19"/>
  <c r="K216" i="19" s="1"/>
  <c r="I261" i="16"/>
  <c r="K261" i="16" s="1"/>
  <c r="I217" i="19"/>
  <c r="K217" i="19" s="1"/>
  <c r="I156" i="18"/>
  <c r="I157" i="18"/>
  <c r="K157" i="18" s="1"/>
  <c r="I158" i="18"/>
  <c r="I187" i="16"/>
  <c r="K187" i="16" s="1"/>
  <c r="I188" i="16"/>
  <c r="I148" i="19"/>
  <c r="K148" i="19" s="1"/>
  <c r="I149" i="19"/>
  <c r="K149" i="19" s="1"/>
  <c r="I155" i="18"/>
  <c r="I150" i="19"/>
  <c r="K150" i="19" s="1"/>
  <c r="I152" i="19"/>
  <c r="I44" i="14"/>
  <c r="K44" i="14" s="1"/>
  <c r="I97" i="18"/>
  <c r="K97" i="18" s="1"/>
  <c r="I167" i="20"/>
  <c r="K167" i="20" s="1"/>
  <c r="I170" i="18"/>
  <c r="K170" i="18" s="1"/>
  <c r="I172" i="18"/>
  <c r="K172" i="18" s="1"/>
  <c r="I171" i="18"/>
  <c r="K171" i="18" s="1"/>
  <c r="I166" i="20"/>
  <c r="K166" i="20" s="1"/>
  <c r="I168" i="20"/>
  <c r="K168" i="20" s="1"/>
  <c r="I165" i="17"/>
  <c r="K165" i="17" s="1"/>
  <c r="I164" i="19"/>
  <c r="K164" i="19" s="1"/>
  <c r="I165" i="19"/>
  <c r="K165" i="19" s="1"/>
  <c r="I166" i="19"/>
  <c r="K166" i="19" s="1"/>
  <c r="I203" i="16"/>
  <c r="K203" i="16" s="1"/>
  <c r="I204" i="16"/>
  <c r="I166" i="17"/>
  <c r="I205" i="16"/>
  <c r="K205" i="16" s="1"/>
  <c r="I143" i="18"/>
  <c r="K143" i="18" s="1"/>
  <c r="I143" i="20"/>
  <c r="K143" i="20" s="1"/>
  <c r="I146" i="18"/>
  <c r="K146" i="18" s="1"/>
  <c r="I142" i="17"/>
  <c r="K142" i="17" s="1"/>
  <c r="I145" i="20"/>
  <c r="K145" i="20" s="1"/>
  <c r="I146" i="20"/>
  <c r="K146" i="20" s="1"/>
  <c r="I144" i="18"/>
  <c r="K144" i="18" s="1"/>
  <c r="I145" i="18"/>
  <c r="I143" i="17"/>
  <c r="K143" i="17" s="1"/>
  <c r="I144" i="17"/>
  <c r="K144" i="17" s="1"/>
  <c r="I145" i="17"/>
  <c r="K145" i="17" s="1"/>
  <c r="I144" i="20"/>
  <c r="K144" i="20" s="1"/>
  <c r="I177" i="16"/>
  <c r="K177" i="16" s="1"/>
  <c r="I139" i="19"/>
  <c r="K139" i="19" s="1"/>
  <c r="I174" i="16"/>
  <c r="K174" i="16" s="1"/>
  <c r="I136" i="19"/>
  <c r="K136" i="19" s="1"/>
  <c r="I175" i="16"/>
  <c r="K175" i="16" s="1"/>
  <c r="I137" i="19"/>
  <c r="K137" i="19" s="1"/>
  <c r="I99" i="20"/>
  <c r="I98" i="18"/>
  <c r="K98" i="18" s="1"/>
  <c r="I96" i="20"/>
  <c r="K96" i="20" s="1"/>
  <c r="I97" i="20"/>
  <c r="I100" i="18"/>
  <c r="K100" i="18" s="1"/>
  <c r="I98" i="20"/>
  <c r="K98" i="20" s="1"/>
  <c r="I97" i="17"/>
  <c r="I98" i="17"/>
  <c r="K98" i="17" s="1"/>
  <c r="I99" i="17"/>
  <c r="K99" i="17" s="1"/>
  <c r="I99" i="18"/>
  <c r="K99" i="18" s="1"/>
  <c r="I101" i="18"/>
  <c r="K101" i="18" s="1"/>
  <c r="I126" i="16"/>
  <c r="K126" i="16" s="1"/>
  <c r="I127" i="16"/>
  <c r="K127" i="16" s="1"/>
  <c r="I93" i="19"/>
  <c r="K93" i="19" s="1"/>
  <c r="I128" i="16"/>
  <c r="K128" i="16" s="1"/>
  <c r="I94" i="19"/>
  <c r="K94" i="19" s="1"/>
  <c r="I129" i="16"/>
  <c r="K129" i="16" s="1"/>
  <c r="I95" i="19"/>
  <c r="K95" i="19" s="1"/>
  <c r="I96" i="19"/>
  <c r="K96" i="19" s="1"/>
  <c r="I91" i="20"/>
  <c r="K91" i="20" s="1"/>
  <c r="I90" i="18"/>
  <c r="K90" i="18" s="1"/>
  <c r="I88" i="20"/>
  <c r="K88" i="20" s="1"/>
  <c r="I89" i="20"/>
  <c r="I92" i="18"/>
  <c r="I90" i="20"/>
  <c r="K90" i="20" s="1"/>
  <c r="I88" i="17"/>
  <c r="K88" i="17" s="1"/>
  <c r="I89" i="17"/>
  <c r="K89" i="17" s="1"/>
  <c r="I90" i="17"/>
  <c r="I91" i="17"/>
  <c r="K91" i="17" s="1"/>
  <c r="I89" i="18"/>
  <c r="K89" i="18" s="1"/>
  <c r="I118" i="16"/>
  <c r="K118" i="16" s="1"/>
  <c r="I86" i="19"/>
  <c r="K86" i="19" s="1"/>
  <c r="I119" i="16"/>
  <c r="K119" i="16" s="1"/>
  <c r="I87" i="19"/>
  <c r="K87" i="19" s="1"/>
  <c r="I120" i="16"/>
  <c r="K120" i="16" s="1"/>
  <c r="I88" i="19"/>
  <c r="K88" i="19" s="1"/>
  <c r="I91" i="18"/>
  <c r="K91" i="18" s="1"/>
  <c r="I121" i="16"/>
  <c r="K121" i="16" s="1"/>
  <c r="I89" i="19"/>
  <c r="K89" i="19" s="1"/>
  <c r="I83" i="20"/>
  <c r="K83" i="20" s="1"/>
  <c r="I84" i="20"/>
  <c r="K84" i="20" s="1"/>
  <c r="I85" i="20"/>
  <c r="K85" i="20" s="1"/>
  <c r="I84" i="18"/>
  <c r="K84" i="18" s="1"/>
  <c r="I82" i="20"/>
  <c r="K82" i="20" s="1"/>
  <c r="I83" i="18"/>
  <c r="I85" i="18"/>
  <c r="I86" i="18"/>
  <c r="I82" i="17"/>
  <c r="K82" i="17" s="1"/>
  <c r="I115" i="16"/>
  <c r="K115" i="16" s="1"/>
  <c r="I83" i="17"/>
  <c r="K83" i="17" s="1"/>
  <c r="I84" i="17"/>
  <c r="K84" i="17" s="1"/>
  <c r="I113" i="16"/>
  <c r="K113" i="16" s="1"/>
  <c r="I83" i="19"/>
  <c r="K83" i="19" s="1"/>
  <c r="I114" i="16"/>
  <c r="K114" i="16" s="1"/>
  <c r="I82" i="14"/>
  <c r="K82" i="14" s="1"/>
  <c r="I85" i="17"/>
  <c r="K85" i="17" s="1"/>
  <c r="I80" i="19"/>
  <c r="K80" i="19" s="1"/>
  <c r="I81" i="19"/>
  <c r="K81" i="19" s="1"/>
  <c r="I48" i="16"/>
  <c r="K48" i="16" s="1"/>
  <c r="I47" i="16"/>
  <c r="K47" i="16" s="1"/>
  <c r="I49" i="16"/>
  <c r="K49" i="16" s="1"/>
  <c r="I50" i="16"/>
  <c r="K50" i="16" s="1"/>
  <c r="I23" i="18"/>
  <c r="K23" i="18" s="1"/>
  <c r="I23" i="20"/>
  <c r="K23" i="20" s="1"/>
  <c r="I24" i="20"/>
  <c r="K24" i="20" s="1"/>
  <c r="I23" i="17"/>
  <c r="K23" i="17" s="1"/>
  <c r="I24" i="17"/>
  <c r="K24" i="17" s="1"/>
  <c r="I40" i="16"/>
  <c r="I24" i="18"/>
  <c r="K24" i="18" s="1"/>
  <c r="I39" i="16"/>
  <c r="K39" i="16" s="1"/>
  <c r="I41" i="16"/>
  <c r="K41" i="16" s="1"/>
  <c r="I42" i="16"/>
  <c r="K42" i="16" s="1"/>
  <c r="I22" i="19"/>
  <c r="K22" i="19" s="1"/>
  <c r="I23" i="19"/>
  <c r="K23" i="19" s="1"/>
  <c r="I23" i="14"/>
  <c r="K23" i="14" s="1"/>
  <c r="I256" i="14"/>
  <c r="K256" i="14" s="1"/>
  <c r="I248" i="14"/>
  <c r="K248" i="14" s="1"/>
  <c r="I240" i="14"/>
  <c r="K240" i="14" s="1"/>
  <c r="I232" i="14"/>
  <c r="K232" i="14" s="1"/>
  <c r="I224" i="14"/>
  <c r="K224" i="14" s="1"/>
  <c r="I216" i="14"/>
  <c r="K216" i="14" s="1"/>
  <c r="I208" i="14"/>
  <c r="K208" i="14" s="1"/>
  <c r="I200" i="14"/>
  <c r="K200" i="14" s="1"/>
  <c r="I192" i="14"/>
  <c r="K192" i="14" s="1"/>
  <c r="I184" i="14"/>
  <c r="K184" i="14" s="1"/>
  <c r="I176" i="14"/>
  <c r="K176" i="14" s="1"/>
  <c r="I168" i="14"/>
  <c r="K168" i="14" s="1"/>
  <c r="I160" i="14"/>
  <c r="K160" i="14" s="1"/>
  <c r="I152" i="14"/>
  <c r="K152" i="14" s="1"/>
  <c r="I144" i="14"/>
  <c r="K144" i="14" s="1"/>
  <c r="I136" i="14"/>
  <c r="K136" i="14" s="1"/>
  <c r="I128" i="14"/>
  <c r="I120" i="14"/>
  <c r="I112" i="14"/>
  <c r="I96" i="14"/>
  <c r="K96" i="14" s="1"/>
  <c r="I88" i="14"/>
  <c r="K88" i="14" s="1"/>
  <c r="I79" i="14"/>
  <c r="K79" i="14" s="1"/>
  <c r="I70" i="14"/>
  <c r="K70" i="14" s="1"/>
  <c r="I61" i="14"/>
  <c r="K61" i="14" s="1"/>
  <c r="I52" i="14"/>
  <c r="K52" i="14" s="1"/>
  <c r="I43" i="14"/>
  <c r="K43" i="14" s="1"/>
  <c r="I32" i="14"/>
  <c r="K32" i="14" s="1"/>
  <c r="I20" i="14"/>
  <c r="K20" i="14" s="1"/>
  <c r="I239" i="19"/>
  <c r="K239" i="19" s="1"/>
  <c r="I175" i="19"/>
  <c r="K175" i="19" s="1"/>
  <c r="I143" i="19"/>
  <c r="K143" i="19" s="1"/>
  <c r="I106" i="19"/>
  <c r="K106" i="19" s="1"/>
  <c r="I286" i="16"/>
  <c r="K286" i="16" s="1"/>
  <c r="I222" i="16"/>
  <c r="K222" i="16" s="1"/>
  <c r="I144" i="16"/>
  <c r="K144" i="16" s="1"/>
  <c r="I132" i="17"/>
  <c r="I44" i="20"/>
  <c r="I45" i="20"/>
  <c r="I46" i="20"/>
  <c r="K46" i="20" s="1"/>
  <c r="I44" i="18"/>
  <c r="K44" i="18" s="1"/>
  <c r="I43" i="18"/>
  <c r="K43" i="18" s="1"/>
  <c r="I45" i="18"/>
  <c r="K45" i="18" s="1"/>
  <c r="I43" i="17"/>
  <c r="K43" i="17" s="1"/>
  <c r="I44" i="17"/>
  <c r="K44" i="17" s="1"/>
  <c r="I45" i="17"/>
  <c r="K45" i="17" s="1"/>
  <c r="I67" i="16"/>
  <c r="K67" i="16" s="1"/>
  <c r="I66" i="16"/>
  <c r="K66" i="16" s="1"/>
  <c r="I40" i="19"/>
  <c r="K40" i="19" s="1"/>
  <c r="I41" i="19"/>
  <c r="K41" i="19" s="1"/>
  <c r="I65" i="16"/>
  <c r="K65" i="16" s="1"/>
  <c r="I3" i="20"/>
  <c r="K3" i="20" s="1"/>
  <c r="I2" i="20"/>
  <c r="K2" i="20" s="1"/>
  <c r="I3" i="18"/>
  <c r="K3" i="18" s="1"/>
  <c r="I2" i="17"/>
  <c r="K2" i="17" s="1"/>
  <c r="I3" i="16"/>
  <c r="K3" i="16" s="1"/>
  <c r="I2" i="18"/>
  <c r="K2" i="18" s="1"/>
  <c r="I3" i="14"/>
  <c r="K3" i="14" s="1"/>
  <c r="I2" i="16"/>
  <c r="I3" i="17"/>
  <c r="I299" i="16"/>
  <c r="K299" i="16" s="1"/>
  <c r="I300" i="16"/>
  <c r="I301" i="16"/>
  <c r="K301" i="16" s="1"/>
  <c r="I204" i="20"/>
  <c r="K204" i="20" s="1"/>
  <c r="I210" i="18"/>
  <c r="K210" i="18" s="1"/>
  <c r="I208" i="18"/>
  <c r="K208" i="18" s="1"/>
  <c r="I209" i="18"/>
  <c r="K209" i="18" s="1"/>
  <c r="I211" i="18"/>
  <c r="K211" i="18" s="1"/>
  <c r="I203" i="17"/>
  <c r="K203" i="17" s="1"/>
  <c r="I205" i="20"/>
  <c r="K205" i="20" s="1"/>
  <c r="I204" i="17"/>
  <c r="K204" i="17" s="1"/>
  <c r="I206" i="20"/>
  <c r="K206" i="20" s="1"/>
  <c r="I205" i="17"/>
  <c r="K205" i="17" s="1"/>
  <c r="I206" i="17"/>
  <c r="K206" i="17" s="1"/>
  <c r="I197" i="19"/>
  <c r="K197" i="19" s="1"/>
  <c r="I242" i="16"/>
  <c r="K242" i="16" s="1"/>
  <c r="I198" i="19"/>
  <c r="K198" i="19" s="1"/>
  <c r="I243" i="16"/>
  <c r="K243" i="16" s="1"/>
  <c r="I244" i="16"/>
  <c r="K244" i="16" s="1"/>
  <c r="I200" i="19"/>
  <c r="K200" i="19" s="1"/>
  <c r="I245" i="16"/>
  <c r="I92" i="20"/>
  <c r="K92" i="20" s="1"/>
  <c r="I95" i="18"/>
  <c r="I93" i="20"/>
  <c r="K93" i="20" s="1"/>
  <c r="I94" i="20"/>
  <c r="K94" i="20" s="1"/>
  <c r="I95" i="20"/>
  <c r="K95" i="20" s="1"/>
  <c r="I94" i="17"/>
  <c r="K94" i="17" s="1"/>
  <c r="I93" i="18"/>
  <c r="K93" i="18" s="1"/>
  <c r="I94" i="18"/>
  <c r="K94" i="18" s="1"/>
  <c r="I96" i="18"/>
  <c r="K96" i="18" s="1"/>
  <c r="I123" i="16"/>
  <c r="K123" i="16" s="1"/>
  <c r="I92" i="17"/>
  <c r="K92" i="17" s="1"/>
  <c r="I93" i="17"/>
  <c r="K93" i="17" s="1"/>
  <c r="I125" i="16"/>
  <c r="K125" i="16" s="1"/>
  <c r="I124" i="16"/>
  <c r="K124" i="16" s="1"/>
  <c r="I91" i="19"/>
  <c r="K91" i="19" s="1"/>
  <c r="I92" i="19"/>
  <c r="I95" i="17"/>
  <c r="K95" i="17" s="1"/>
  <c r="I74" i="18"/>
  <c r="K74" i="18" s="1"/>
  <c r="I72" i="20"/>
  <c r="K72" i="20" s="1"/>
  <c r="I73" i="20"/>
  <c r="K73" i="20" s="1"/>
  <c r="I74" i="20"/>
  <c r="K74" i="20" s="1"/>
  <c r="I72" i="17"/>
  <c r="I73" i="18"/>
  <c r="K73" i="18" s="1"/>
  <c r="I73" i="17"/>
  <c r="K73" i="17" s="1"/>
  <c r="I99" i="16"/>
  <c r="K99" i="16" s="1"/>
  <c r="I75" i="18"/>
  <c r="K75" i="18" s="1"/>
  <c r="I74" i="17"/>
  <c r="K74" i="17" s="1"/>
  <c r="I70" i="19"/>
  <c r="K70" i="19" s="1"/>
  <c r="I97" i="16"/>
  <c r="K97" i="16" s="1"/>
  <c r="I71" i="19"/>
  <c r="K71" i="19" s="1"/>
  <c r="I98" i="16"/>
  <c r="K98" i="16" s="1"/>
  <c r="I72" i="19"/>
  <c r="K72" i="19" s="1"/>
  <c r="I67" i="20"/>
  <c r="K67" i="20" s="1"/>
  <c r="I63" i="20"/>
  <c r="K63" i="20" s="1"/>
  <c r="I66" i="18"/>
  <c r="K66" i="18" s="1"/>
  <c r="I64" i="20"/>
  <c r="K64" i="20" s="1"/>
  <c r="I65" i="20"/>
  <c r="K65" i="20" s="1"/>
  <c r="I68" i="18"/>
  <c r="K68" i="18" s="1"/>
  <c r="I66" i="20"/>
  <c r="K66" i="20" s="1"/>
  <c r="I67" i="18"/>
  <c r="K67" i="18" s="1"/>
  <c r="I63" i="17"/>
  <c r="K63" i="17" s="1"/>
  <c r="I64" i="17"/>
  <c r="K64" i="17" s="1"/>
  <c r="I91" i="16"/>
  <c r="K91" i="16" s="1"/>
  <c r="I65" i="17"/>
  <c r="I64" i="18"/>
  <c r="K64" i="18" s="1"/>
  <c r="I66" i="17"/>
  <c r="K66" i="17" s="1"/>
  <c r="I67" i="17"/>
  <c r="K67" i="17" s="1"/>
  <c r="I92" i="16"/>
  <c r="K92" i="16" s="1"/>
  <c r="I66" i="14"/>
  <c r="K66" i="14" s="1"/>
  <c r="I61" i="19"/>
  <c r="K61" i="19" s="1"/>
  <c r="I62" i="19"/>
  <c r="K62" i="19" s="1"/>
  <c r="I65" i="18"/>
  <c r="K65" i="18" s="1"/>
  <c r="I63" i="19"/>
  <c r="K63" i="19" s="1"/>
  <c r="I88" i="16"/>
  <c r="K88" i="16" s="1"/>
  <c r="I64" i="19"/>
  <c r="K64" i="19" s="1"/>
  <c r="I89" i="16"/>
  <c r="K89" i="16" s="1"/>
  <c r="I65" i="19"/>
  <c r="K65" i="19" s="1"/>
  <c r="I43" i="20"/>
  <c r="K43" i="20" s="1"/>
  <c r="I42" i="18"/>
  <c r="K42" i="18" s="1"/>
  <c r="I41" i="20"/>
  <c r="K41" i="20" s="1"/>
  <c r="I42" i="20"/>
  <c r="K42" i="20" s="1"/>
  <c r="I41" i="18"/>
  <c r="K41" i="18" s="1"/>
  <c r="I42" i="17"/>
  <c r="K42" i="17" s="1"/>
  <c r="I42" i="14"/>
  <c r="K42" i="14" s="1"/>
  <c r="I41" i="17"/>
  <c r="K41" i="17" s="1"/>
  <c r="I39" i="19"/>
  <c r="I63" i="16"/>
  <c r="I64" i="16"/>
  <c r="K64" i="16" s="1"/>
  <c r="I35" i="20"/>
  <c r="K35" i="20" s="1"/>
  <c r="I36" i="20"/>
  <c r="K36" i="20" s="1"/>
  <c r="I37" i="20"/>
  <c r="K37" i="20" s="1"/>
  <c r="I36" i="18"/>
  <c r="K36" i="18" s="1"/>
  <c r="I35" i="17"/>
  <c r="K35" i="17" s="1"/>
  <c r="I35" i="18"/>
  <c r="K35" i="18" s="1"/>
  <c r="I36" i="17"/>
  <c r="K36" i="17" s="1"/>
  <c r="I59" i="16"/>
  <c r="K59" i="16" s="1"/>
  <c r="I37" i="18"/>
  <c r="K37" i="18" s="1"/>
  <c r="I37" i="17"/>
  <c r="K37" i="17" s="1"/>
  <c r="I35" i="19"/>
  <c r="K35" i="19" s="1"/>
  <c r="I36" i="19"/>
  <c r="K36" i="19" s="1"/>
  <c r="I57" i="16"/>
  <c r="K57" i="16" s="1"/>
  <c r="I35" i="14"/>
  <c r="K35" i="14" s="1"/>
  <c r="I58" i="16"/>
  <c r="K58" i="16" s="1"/>
  <c r="I27" i="20"/>
  <c r="K27" i="20" s="1"/>
  <c r="I28" i="20"/>
  <c r="K28" i="20" s="1"/>
  <c r="I26" i="18"/>
  <c r="K26" i="18" s="1"/>
  <c r="I25" i="20"/>
  <c r="K25" i="20" s="1"/>
  <c r="I28" i="18"/>
  <c r="K28" i="18" s="1"/>
  <c r="I26" i="20"/>
  <c r="K26" i="20" s="1"/>
  <c r="I25" i="17"/>
  <c r="K25" i="17" s="1"/>
  <c r="I26" i="17"/>
  <c r="I27" i="17"/>
  <c r="K27" i="17" s="1"/>
  <c r="I43" i="16"/>
  <c r="K43" i="16" s="1"/>
  <c r="I28" i="17"/>
  <c r="K28" i="17" s="1"/>
  <c r="I44" i="16"/>
  <c r="K44" i="16" s="1"/>
  <c r="I25" i="18"/>
  <c r="K25" i="18" s="1"/>
  <c r="I45" i="16"/>
  <c r="K45" i="16" s="1"/>
  <c r="I27" i="19"/>
  <c r="K27" i="19" s="1"/>
  <c r="I27" i="18"/>
  <c r="K27" i="18" s="1"/>
  <c r="I26" i="14"/>
  <c r="K26" i="14" s="1"/>
  <c r="I27" i="14"/>
  <c r="K27" i="14" s="1"/>
  <c r="I46" i="16"/>
  <c r="K46" i="16" s="1"/>
  <c r="I24" i="19"/>
  <c r="K24" i="19" s="1"/>
  <c r="I25" i="19"/>
  <c r="K25" i="19" s="1"/>
  <c r="I4" i="20"/>
  <c r="K4" i="20" s="1"/>
  <c r="I5" i="20"/>
  <c r="K5" i="20" s="1"/>
  <c r="I4" i="18"/>
  <c r="K4" i="18" s="1"/>
  <c r="I5" i="18"/>
  <c r="K5" i="18" s="1"/>
  <c r="I4" i="17"/>
  <c r="K4" i="17" s="1"/>
  <c r="I5" i="17"/>
  <c r="K5" i="17" s="1"/>
  <c r="I4" i="16"/>
  <c r="I5" i="16"/>
  <c r="I3" i="19"/>
  <c r="K3" i="19" s="1"/>
  <c r="I2" i="19"/>
  <c r="K2" i="19" s="1"/>
  <c r="I263" i="14"/>
  <c r="I247" i="14"/>
  <c r="I239" i="14"/>
  <c r="K239" i="14" s="1"/>
  <c r="I231" i="14"/>
  <c r="K231" i="14" s="1"/>
  <c r="I215" i="14"/>
  <c r="K215" i="14" s="1"/>
  <c r="I207" i="14"/>
  <c r="K207" i="14" s="1"/>
  <c r="I199" i="14"/>
  <c r="K199" i="14" s="1"/>
  <c r="I183" i="14"/>
  <c r="K183" i="14" s="1"/>
  <c r="I175" i="14"/>
  <c r="K175" i="14" s="1"/>
  <c r="I167" i="14"/>
  <c r="K167" i="14" s="1"/>
  <c r="I159" i="14"/>
  <c r="K159" i="14" s="1"/>
  <c r="I143" i="14"/>
  <c r="K143" i="14" s="1"/>
  <c r="I135" i="14"/>
  <c r="K135" i="14" s="1"/>
  <c r="I127" i="14"/>
  <c r="K127" i="14" s="1"/>
  <c r="I119" i="14"/>
  <c r="K119" i="14" s="1"/>
  <c r="I111" i="14"/>
  <c r="K111" i="14" s="1"/>
  <c r="I103" i="14"/>
  <c r="K103" i="14" s="1"/>
  <c r="I95" i="14"/>
  <c r="I87" i="14"/>
  <c r="K87" i="14" s="1"/>
  <c r="I69" i="14"/>
  <c r="K69" i="14" s="1"/>
  <c r="I51" i="14"/>
  <c r="K51" i="14" s="1"/>
  <c r="I41" i="14"/>
  <c r="K41" i="14" s="1"/>
  <c r="I31" i="14"/>
  <c r="K31" i="14" s="1"/>
  <c r="I17" i="14"/>
  <c r="I234" i="19"/>
  <c r="K234" i="19" s="1"/>
  <c r="I202" i="19"/>
  <c r="K202" i="19" s="1"/>
  <c r="I170" i="19"/>
  <c r="K170" i="19" s="1"/>
  <c r="I138" i="19"/>
  <c r="K138" i="19" s="1"/>
  <c r="I98" i="19"/>
  <c r="K98" i="19" s="1"/>
  <c r="I34" i="19"/>
  <c r="K34" i="19" s="1"/>
  <c r="I278" i="16"/>
  <c r="K278" i="16" s="1"/>
  <c r="I134" i="16"/>
  <c r="K134" i="16" s="1"/>
  <c r="I38" i="16"/>
  <c r="K38" i="16" s="1"/>
  <c r="I96" i="17"/>
  <c r="K96" i="17" s="1"/>
  <c r="I79" i="20"/>
  <c r="K79" i="20" s="1"/>
  <c r="I82" i="18"/>
  <c r="K82" i="18" s="1"/>
  <c r="I80" i="20"/>
  <c r="K80" i="20" s="1"/>
  <c r="I81" i="20"/>
  <c r="K81" i="20" s="1"/>
  <c r="I80" i="18"/>
  <c r="K80" i="18" s="1"/>
  <c r="I81" i="18"/>
  <c r="I79" i="17"/>
  <c r="I80" i="17"/>
  <c r="K80" i="17" s="1"/>
  <c r="I81" i="17"/>
  <c r="K81" i="17" s="1"/>
  <c r="I109" i="16"/>
  <c r="K109" i="16" s="1"/>
  <c r="I77" i="19"/>
  <c r="K77" i="19" s="1"/>
  <c r="I78" i="19"/>
  <c r="I79" i="19"/>
  <c r="K79" i="19" s="1"/>
  <c r="I110" i="16"/>
  <c r="K110" i="16" s="1"/>
  <c r="I111" i="16"/>
  <c r="K111" i="16" s="1"/>
  <c r="I24" i="16"/>
  <c r="K24" i="16" s="1"/>
  <c r="I26" i="16"/>
  <c r="K26" i="16" s="1"/>
  <c r="I27" i="16"/>
  <c r="K27" i="16" s="1"/>
  <c r="I28" i="16"/>
  <c r="K28" i="16" s="1"/>
  <c r="I29" i="16"/>
  <c r="K29" i="16" s="1"/>
  <c r="I22" i="16"/>
  <c r="K22" i="16" s="1"/>
  <c r="I23" i="16"/>
  <c r="K23" i="16" s="1"/>
  <c r="I25" i="16"/>
  <c r="K25" i="16" s="1"/>
  <c r="I30" i="16"/>
  <c r="K30" i="16" s="1"/>
  <c r="I223" i="20"/>
  <c r="K223" i="20" s="1"/>
  <c r="I225" i="20"/>
  <c r="K225" i="20" s="1"/>
  <c r="I230" i="18"/>
  <c r="K230" i="18" s="1"/>
  <c r="I231" i="18"/>
  <c r="K231" i="18" s="1"/>
  <c r="I232" i="18"/>
  <c r="K232" i="18" s="1"/>
  <c r="I226" i="17"/>
  <c r="K226" i="17" s="1"/>
  <c r="I227" i="17"/>
  <c r="K227" i="17" s="1"/>
  <c r="I228" i="17"/>
  <c r="K228" i="17" s="1"/>
  <c r="I222" i="20"/>
  <c r="K222" i="20" s="1"/>
  <c r="I219" i="19"/>
  <c r="K219" i="19" s="1"/>
  <c r="I229" i="18"/>
  <c r="K229" i="18" s="1"/>
  <c r="I264" i="16"/>
  <c r="K264" i="16" s="1"/>
  <c r="I220" i="19"/>
  <c r="K220" i="19" s="1"/>
  <c r="I225" i="17"/>
  <c r="K225" i="17" s="1"/>
  <c r="I265" i="16"/>
  <c r="K265" i="16" s="1"/>
  <c r="I221" i="19"/>
  <c r="K221" i="19" s="1"/>
  <c r="I266" i="16"/>
  <c r="K266" i="16" s="1"/>
  <c r="I222" i="19"/>
  <c r="K222" i="19" s="1"/>
  <c r="I267" i="16"/>
  <c r="K267" i="16" s="1"/>
  <c r="I224" i="20"/>
  <c r="K224" i="20" s="1"/>
  <c r="I16" i="20"/>
  <c r="K16" i="20" s="1"/>
  <c r="I16" i="18"/>
  <c r="K16" i="18" s="1"/>
  <c r="I16" i="17"/>
  <c r="K16" i="17" s="1"/>
  <c r="I14" i="19"/>
  <c r="K14" i="19" s="1"/>
  <c r="I15" i="19"/>
  <c r="K15" i="19" s="1"/>
  <c r="I262" i="14"/>
  <c r="K262" i="14" s="1"/>
  <c r="I254" i="14"/>
  <c r="I222" i="14"/>
  <c r="K222" i="14" s="1"/>
  <c r="I214" i="14"/>
  <c r="I206" i="14"/>
  <c r="K206" i="14" s="1"/>
  <c r="I190" i="14"/>
  <c r="K190" i="14" s="1"/>
  <c r="I182" i="14"/>
  <c r="K182" i="14" s="1"/>
  <c r="I166" i="14"/>
  <c r="K166" i="14" s="1"/>
  <c r="I158" i="14"/>
  <c r="K158" i="14" s="1"/>
  <c r="I150" i="14"/>
  <c r="K150" i="14" s="1"/>
  <c r="I142" i="14"/>
  <c r="K142" i="14" s="1"/>
  <c r="I134" i="14"/>
  <c r="K134" i="14" s="1"/>
  <c r="I126" i="14"/>
  <c r="K126" i="14" s="1"/>
  <c r="I118" i="14"/>
  <c r="K118" i="14" s="1"/>
  <c r="I102" i="14"/>
  <c r="K102" i="14" s="1"/>
  <c r="I94" i="14"/>
  <c r="K94" i="14" s="1"/>
  <c r="I77" i="14"/>
  <c r="K77" i="14" s="1"/>
  <c r="I68" i="14"/>
  <c r="K68" i="14" s="1"/>
  <c r="I59" i="14"/>
  <c r="K59" i="14" s="1"/>
  <c r="I49" i="14"/>
  <c r="K49" i="14" s="1"/>
  <c r="I40" i="14"/>
  <c r="K40" i="14" s="1"/>
  <c r="I30" i="14"/>
  <c r="K30" i="14" s="1"/>
  <c r="I16" i="14"/>
  <c r="I199" i="19"/>
  <c r="K199" i="19" s="1"/>
  <c r="I167" i="19"/>
  <c r="K167" i="19" s="1"/>
  <c r="I135" i="19"/>
  <c r="K135" i="19" s="1"/>
  <c r="I90" i="19"/>
  <c r="K90" i="19" s="1"/>
  <c r="I26" i="19"/>
  <c r="K26" i="19" s="1"/>
  <c r="I270" i="16"/>
  <c r="K270" i="16" s="1"/>
  <c r="I122" i="16"/>
  <c r="K122" i="16" s="1"/>
  <c r="I17" i="16"/>
  <c r="K17" i="16" s="1"/>
  <c r="I217" i="14"/>
  <c r="K217" i="14" s="1"/>
  <c r="I207" i="18"/>
  <c r="K207" i="18" s="1"/>
  <c r="I199" i="20"/>
  <c r="K199" i="20" s="1"/>
  <c r="I202" i="18"/>
  <c r="K202" i="18" s="1"/>
  <c r="I201" i="20"/>
  <c r="K201" i="20" s="1"/>
  <c r="I204" i="18"/>
  <c r="K204" i="18" s="1"/>
  <c r="I202" i="20"/>
  <c r="K202" i="20" s="1"/>
  <c r="I200" i="17"/>
  <c r="K200" i="17" s="1"/>
  <c r="I198" i="20"/>
  <c r="K198" i="20" s="1"/>
  <c r="I200" i="20"/>
  <c r="K200" i="20" s="1"/>
  <c r="I202" i="17"/>
  <c r="K202" i="17" s="1"/>
  <c r="I203" i="20"/>
  <c r="K203" i="20" s="1"/>
  <c r="I203" i="18"/>
  <c r="K203" i="18" s="1"/>
  <c r="I205" i="18"/>
  <c r="I197" i="17"/>
  <c r="I199" i="17"/>
  <c r="K199" i="17" s="1"/>
  <c r="I239" i="16"/>
  <c r="K239" i="16" s="1"/>
  <c r="I195" i="19"/>
  <c r="K195" i="19" s="1"/>
  <c r="I201" i="17"/>
  <c r="I240" i="16"/>
  <c r="K240" i="16" s="1"/>
  <c r="I196" i="19"/>
  <c r="K196" i="19" s="1"/>
  <c r="I241" i="16"/>
  <c r="K241" i="16" s="1"/>
  <c r="I192" i="19"/>
  <c r="K192" i="19" s="1"/>
  <c r="I193" i="19"/>
  <c r="K193" i="19" s="1"/>
  <c r="I156" i="20"/>
  <c r="K156" i="20" s="1"/>
  <c r="I159" i="18"/>
  <c r="K159" i="18" s="1"/>
  <c r="I162" i="18"/>
  <c r="K162" i="18" s="1"/>
  <c r="I160" i="18"/>
  <c r="K160" i="18" s="1"/>
  <c r="I161" i="18"/>
  <c r="K161" i="18" s="1"/>
  <c r="I154" i="17"/>
  <c r="K154" i="17" s="1"/>
  <c r="I155" i="20"/>
  <c r="K155" i="20" s="1"/>
  <c r="I155" i="17"/>
  <c r="K155" i="17" s="1"/>
  <c r="I157" i="20"/>
  <c r="K157" i="20" s="1"/>
  <c r="I156" i="17"/>
  <c r="K156" i="17" s="1"/>
  <c r="I158" i="20"/>
  <c r="K158" i="20" s="1"/>
  <c r="I157" i="17"/>
  <c r="I189" i="16"/>
  <c r="K189" i="16" s="1"/>
  <c r="I155" i="19"/>
  <c r="K155" i="19" s="1"/>
  <c r="I190" i="16"/>
  <c r="K190" i="16" s="1"/>
  <c r="I156" i="19"/>
  <c r="K156" i="19" s="1"/>
  <c r="I191" i="16"/>
  <c r="K191" i="16" s="1"/>
  <c r="I192" i="16"/>
  <c r="K192" i="16" s="1"/>
  <c r="I153" i="19"/>
  <c r="K153" i="19" s="1"/>
  <c r="I180" i="20"/>
  <c r="K180" i="20" s="1"/>
  <c r="I183" i="18"/>
  <c r="K183" i="18" s="1"/>
  <c r="I177" i="20"/>
  <c r="K177" i="20" s="1"/>
  <c r="I178" i="20"/>
  <c r="K178" i="20" s="1"/>
  <c r="I179" i="20"/>
  <c r="K179" i="20" s="1"/>
  <c r="I182" i="18"/>
  <c r="K182" i="18" s="1"/>
  <c r="I184" i="18"/>
  <c r="K184" i="18" s="1"/>
  <c r="I176" i="17"/>
  <c r="K176" i="17" s="1"/>
  <c r="I177" i="17"/>
  <c r="K177" i="17" s="1"/>
  <c r="I178" i="17"/>
  <c r="K178" i="17" s="1"/>
  <c r="I179" i="17"/>
  <c r="K179" i="17" s="1"/>
  <c r="I215" i="16"/>
  <c r="K215" i="16" s="1"/>
  <c r="I216" i="16"/>
  <c r="K216" i="16" s="1"/>
  <c r="I217" i="16"/>
  <c r="K217" i="16" s="1"/>
  <c r="I181" i="18"/>
  <c r="K181" i="18" s="1"/>
  <c r="I172" i="20"/>
  <c r="K172" i="20" s="1"/>
  <c r="I175" i="20"/>
  <c r="I178" i="18"/>
  <c r="K178" i="18" s="1"/>
  <c r="I180" i="18"/>
  <c r="I176" i="18"/>
  <c r="K176" i="18" s="1"/>
  <c r="I171" i="17"/>
  <c r="K171" i="17" s="1"/>
  <c r="I173" i="20"/>
  <c r="K173" i="20" s="1"/>
  <c r="I177" i="18"/>
  <c r="K177" i="18" s="1"/>
  <c r="I172" i="17"/>
  <c r="K172" i="17" s="1"/>
  <c r="I174" i="20"/>
  <c r="K174" i="20" s="1"/>
  <c r="I179" i="18"/>
  <c r="K179" i="18" s="1"/>
  <c r="I173" i="17"/>
  <c r="K173" i="17" s="1"/>
  <c r="I174" i="17"/>
  <c r="K174" i="17" s="1"/>
  <c r="I171" i="19"/>
  <c r="K171" i="19" s="1"/>
  <c r="I175" i="17"/>
  <c r="K175" i="17" s="1"/>
  <c r="I172" i="19"/>
  <c r="K172" i="19" s="1"/>
  <c r="I176" i="20"/>
  <c r="K176" i="20" s="1"/>
  <c r="I209" i="16"/>
  <c r="K209" i="16" s="1"/>
  <c r="I173" i="19"/>
  <c r="K173" i="19" s="1"/>
  <c r="I210" i="16"/>
  <c r="K210" i="16" s="1"/>
  <c r="I211" i="16"/>
  <c r="K211" i="16" s="1"/>
  <c r="I212" i="16"/>
  <c r="K212" i="16" s="1"/>
  <c r="I213" i="16"/>
  <c r="K213" i="16" s="1"/>
  <c r="I154" i="18"/>
  <c r="K154" i="18" s="1"/>
  <c r="I153" i="20"/>
  <c r="K153" i="20" s="1"/>
  <c r="I154" i="20"/>
  <c r="K154" i="20" s="1"/>
  <c r="I152" i="17"/>
  <c r="K152" i="17" s="1"/>
  <c r="I153" i="17"/>
  <c r="K153" i="17" s="1"/>
  <c r="I152" i="20"/>
  <c r="I152" i="18"/>
  <c r="K152" i="18" s="1"/>
  <c r="I153" i="18"/>
  <c r="K153" i="18" s="1"/>
  <c r="I147" i="19"/>
  <c r="K147" i="19" s="1"/>
  <c r="I151" i="17"/>
  <c r="K151" i="17" s="1"/>
  <c r="I183" i="16"/>
  <c r="K183" i="16" s="1"/>
  <c r="I184" i="16"/>
  <c r="K184" i="16" s="1"/>
  <c r="I185" i="16"/>
  <c r="K185" i="16" s="1"/>
  <c r="I145" i="19"/>
  <c r="K145" i="19" s="1"/>
  <c r="I111" i="18"/>
  <c r="K111" i="18" s="1"/>
  <c r="I110" i="20"/>
  <c r="K110" i="20" s="1"/>
  <c r="I111" i="20"/>
  <c r="K111" i="20" s="1"/>
  <c r="I110" i="17"/>
  <c r="K110" i="17" s="1"/>
  <c r="I112" i="20"/>
  <c r="K112" i="20" s="1"/>
  <c r="I110" i="18"/>
  <c r="K110" i="18" s="1"/>
  <c r="I108" i="17"/>
  <c r="I112" i="18"/>
  <c r="K112" i="18" s="1"/>
  <c r="I109" i="17"/>
  <c r="K109" i="17" s="1"/>
  <c r="I141" i="16"/>
  <c r="K141" i="16" s="1"/>
  <c r="I140" i="16"/>
  <c r="K140" i="16" s="1"/>
  <c r="I142" i="16"/>
  <c r="K142" i="16" s="1"/>
  <c r="I105" i="20"/>
  <c r="K105" i="20" s="1"/>
  <c r="I106" i="20"/>
  <c r="K106" i="20" s="1"/>
  <c r="I131" i="16"/>
  <c r="K131" i="16" s="1"/>
  <c r="I130" i="16"/>
  <c r="K130" i="16" s="1"/>
  <c r="I87" i="18"/>
  <c r="K87" i="18" s="1"/>
  <c r="I86" i="20"/>
  <c r="K86" i="20" s="1"/>
  <c r="I87" i="20"/>
  <c r="K87" i="20" s="1"/>
  <c r="I86" i="17"/>
  <c r="K86" i="17" s="1"/>
  <c r="I88" i="18"/>
  <c r="K88" i="18" s="1"/>
  <c r="I117" i="16"/>
  <c r="K117" i="16" s="1"/>
  <c r="I84" i="19"/>
  <c r="K84" i="19" s="1"/>
  <c r="I116" i="16"/>
  <c r="K116" i="16" s="1"/>
  <c r="I85" i="19"/>
  <c r="K85" i="19" s="1"/>
  <c r="I87" i="17"/>
  <c r="K87" i="17" s="1"/>
  <c r="I101" i="16"/>
  <c r="K101" i="16" s="1"/>
  <c r="I103" i="16"/>
  <c r="K103" i="16" s="1"/>
  <c r="I104" i="16"/>
  <c r="I100" i="16"/>
  <c r="K100" i="16" s="1"/>
  <c r="I63" i="18"/>
  <c r="K63" i="18" s="1"/>
  <c r="I61" i="20"/>
  <c r="K61" i="20" s="1"/>
  <c r="I62" i="20"/>
  <c r="I62" i="17"/>
  <c r="K62" i="17" s="1"/>
  <c r="I61" i="17"/>
  <c r="K61" i="17" s="1"/>
  <c r="I62" i="18"/>
  <c r="K62" i="18" s="1"/>
  <c r="I84" i="16"/>
  <c r="K84" i="16" s="1"/>
  <c r="I85" i="16"/>
  <c r="K85" i="16" s="1"/>
  <c r="I59" i="19"/>
  <c r="K59" i="19" s="1"/>
  <c r="I60" i="19"/>
  <c r="K60" i="19" s="1"/>
  <c r="I86" i="16"/>
  <c r="K86" i="16" s="1"/>
  <c r="I87" i="16"/>
  <c r="K87" i="16" s="1"/>
  <c r="I11" i="20"/>
  <c r="K11" i="20" s="1"/>
  <c r="I12" i="20"/>
  <c r="K12" i="20" s="1"/>
  <c r="I10" i="18"/>
  <c r="K10" i="18" s="1"/>
  <c r="I12" i="18"/>
  <c r="K12" i="18" s="1"/>
  <c r="I10" i="20"/>
  <c r="K10" i="20" s="1"/>
  <c r="I13" i="17"/>
  <c r="K13" i="17" s="1"/>
  <c r="I12" i="16"/>
  <c r="K12" i="16" s="1"/>
  <c r="I11" i="17"/>
  <c r="K11" i="17" s="1"/>
  <c r="I13" i="16"/>
  <c r="I11" i="18"/>
  <c r="I11" i="19"/>
  <c r="I10" i="14"/>
  <c r="I11" i="14"/>
  <c r="K11" i="14" s="1"/>
  <c r="I14" i="16"/>
  <c r="K14" i="16" s="1"/>
  <c r="I12" i="17"/>
  <c r="K12" i="17" s="1"/>
  <c r="I15" i="16"/>
  <c r="K15" i="16" s="1"/>
  <c r="I9" i="19"/>
  <c r="K9" i="19" s="1"/>
  <c r="I261" i="14"/>
  <c r="K261" i="14" s="1"/>
  <c r="I237" i="14"/>
  <c r="K237" i="14" s="1"/>
  <c r="I229" i="14"/>
  <c r="K229" i="14" s="1"/>
  <c r="I221" i="14"/>
  <c r="K221" i="14" s="1"/>
  <c r="I213" i="14"/>
  <c r="K213" i="14" s="1"/>
  <c r="I205" i="14"/>
  <c r="K205" i="14" s="1"/>
  <c r="I197" i="14"/>
  <c r="K197" i="14" s="1"/>
  <c r="I189" i="14"/>
  <c r="K189" i="14" s="1"/>
  <c r="I181" i="14"/>
  <c r="K181" i="14" s="1"/>
  <c r="I173" i="14"/>
  <c r="K173" i="14" s="1"/>
  <c r="I165" i="14"/>
  <c r="K165" i="14" s="1"/>
  <c r="I157" i="14"/>
  <c r="K157" i="14" s="1"/>
  <c r="I149" i="14"/>
  <c r="K149" i="14" s="1"/>
  <c r="I141" i="14"/>
  <c r="I133" i="14"/>
  <c r="I125" i="14"/>
  <c r="K125" i="14" s="1"/>
  <c r="I109" i="14"/>
  <c r="K109" i="14" s="1"/>
  <c r="I93" i="14"/>
  <c r="I85" i="14"/>
  <c r="K85" i="14" s="1"/>
  <c r="I76" i="14"/>
  <c r="K76" i="14" s="1"/>
  <c r="I57" i="14"/>
  <c r="K57" i="14" s="1"/>
  <c r="I39" i="14"/>
  <c r="K39" i="14" s="1"/>
  <c r="I255" i="19"/>
  <c r="K255" i="19" s="1"/>
  <c r="I226" i="19"/>
  <c r="K226" i="19" s="1"/>
  <c r="I194" i="19"/>
  <c r="K194" i="19" s="1"/>
  <c r="I162" i="19"/>
  <c r="K162" i="19" s="1"/>
  <c r="I82" i="19"/>
  <c r="K82" i="19" s="1"/>
  <c r="I262" i="16"/>
  <c r="K262" i="16" s="1"/>
  <c r="I112" i="16"/>
  <c r="K112" i="16" s="1"/>
  <c r="I262" i="17"/>
  <c r="K262" i="17" s="1"/>
  <c r="K92" i="19"/>
  <c r="I80" i="14"/>
  <c r="K80" i="14" s="1"/>
  <c r="I262" i="20"/>
  <c r="K262" i="20" s="1"/>
  <c r="I269" i="18"/>
  <c r="K269" i="18" s="1"/>
  <c r="I265" i="17"/>
  <c r="K265" i="17" s="1"/>
  <c r="I100" i="20"/>
  <c r="K100" i="20" s="1"/>
  <c r="I103" i="18"/>
  <c r="K103" i="18" s="1"/>
  <c r="I101" i="20"/>
  <c r="K101" i="20" s="1"/>
  <c r="I102" i="20"/>
  <c r="K102" i="20" s="1"/>
  <c r="I103" i="20"/>
  <c r="K103" i="20" s="1"/>
  <c r="I106" i="18"/>
  <c r="K106" i="18" s="1"/>
  <c r="I102" i="17"/>
  <c r="K102" i="17" s="1"/>
  <c r="I104" i="20"/>
  <c r="K104" i="20" s="1"/>
  <c r="I105" i="18"/>
  <c r="K105" i="18" s="1"/>
  <c r="I100" i="17"/>
  <c r="K100" i="17" s="1"/>
  <c r="I101" i="17"/>
  <c r="K101" i="17" s="1"/>
  <c r="I102" i="18"/>
  <c r="K102" i="18" s="1"/>
  <c r="I103" i="17"/>
  <c r="K103" i="17" s="1"/>
  <c r="I133" i="16"/>
  <c r="K133" i="16" s="1"/>
  <c r="I104" i="17"/>
  <c r="K104" i="17" s="1"/>
  <c r="I135" i="16"/>
  <c r="K135" i="16" s="1"/>
  <c r="I99" i="19"/>
  <c r="K99" i="19" s="1"/>
  <c r="I136" i="16"/>
  <c r="K136" i="16" s="1"/>
  <c r="I100" i="19"/>
  <c r="K100" i="19" s="1"/>
  <c r="I101" i="19"/>
  <c r="K101" i="19" s="1"/>
  <c r="I132" i="16"/>
  <c r="K132" i="16" s="1"/>
  <c r="I97" i="19"/>
  <c r="K97" i="19" s="1"/>
  <c r="I212" i="20"/>
  <c r="I218" i="18"/>
  <c r="K218" i="18" s="1"/>
  <c r="I220" i="18"/>
  <c r="K220" i="18" s="1"/>
  <c r="I211" i="20"/>
  <c r="K211" i="20" s="1"/>
  <c r="I219" i="18"/>
  <c r="K219" i="18" s="1"/>
  <c r="I213" i="20"/>
  <c r="K213" i="20" s="1"/>
  <c r="I216" i="17"/>
  <c r="K216" i="17" s="1"/>
  <c r="I255" i="16"/>
  <c r="K255" i="16" s="1"/>
  <c r="I214" i="17"/>
  <c r="K214" i="17" s="1"/>
  <c r="I208" i="19"/>
  <c r="K208" i="19" s="1"/>
  <c r="I215" i="17"/>
  <c r="K215" i="17" s="1"/>
  <c r="I253" i="16"/>
  <c r="K253" i="16" s="1"/>
  <c r="I209" i="19"/>
  <c r="K209" i="19" s="1"/>
  <c r="I252" i="20"/>
  <c r="K252" i="20" s="1"/>
  <c r="I258" i="18"/>
  <c r="K258" i="18" s="1"/>
  <c r="I260" i="18"/>
  <c r="K260" i="18" s="1"/>
  <c r="I256" i="17"/>
  <c r="K256" i="17" s="1"/>
  <c r="I251" i="20"/>
  <c r="K251" i="20" s="1"/>
  <c r="I253" i="20"/>
  <c r="K253" i="20" s="1"/>
  <c r="I259" i="18"/>
  <c r="K259" i="18" s="1"/>
  <c r="I254" i="17"/>
  <c r="K254" i="17" s="1"/>
  <c r="I255" i="17"/>
  <c r="K255" i="17" s="1"/>
  <c r="I248" i="19"/>
  <c r="I249" i="19"/>
  <c r="I244" i="20"/>
  <c r="K244" i="20" s="1"/>
  <c r="I250" i="18"/>
  <c r="K250" i="18" s="1"/>
  <c r="I242" i="20"/>
  <c r="K242" i="20" s="1"/>
  <c r="I243" i="20"/>
  <c r="K243" i="20" s="1"/>
  <c r="I251" i="18"/>
  <c r="K251" i="18" s="1"/>
  <c r="I245" i="17"/>
  <c r="K245" i="17" s="1"/>
  <c r="I246" i="17"/>
  <c r="K246" i="17" s="1"/>
  <c r="I247" i="17"/>
  <c r="K247" i="17" s="1"/>
  <c r="I249" i="18"/>
  <c r="K249" i="18" s="1"/>
  <c r="I284" i="16"/>
  <c r="K284" i="16" s="1"/>
  <c r="I240" i="19"/>
  <c r="K240" i="19" s="1"/>
  <c r="I285" i="16"/>
  <c r="K285" i="16" s="1"/>
  <c r="I241" i="19"/>
  <c r="K241" i="19" s="1"/>
  <c r="I236" i="20"/>
  <c r="K236" i="20" s="1"/>
  <c r="I242" i="18"/>
  <c r="K242" i="18" s="1"/>
  <c r="I234" i="20"/>
  <c r="K234" i="20" s="1"/>
  <c r="I241" i="18"/>
  <c r="K241" i="18" s="1"/>
  <c r="I243" i="18"/>
  <c r="K243" i="18" s="1"/>
  <c r="I235" i="20"/>
  <c r="K235" i="20" s="1"/>
  <c r="I237" i="17"/>
  <c r="K237" i="17" s="1"/>
  <c r="I276" i="16"/>
  <c r="K276" i="16" s="1"/>
  <c r="I232" i="19"/>
  <c r="K232" i="19" s="1"/>
  <c r="I238" i="17"/>
  <c r="I277" i="16"/>
  <c r="K277" i="16" s="1"/>
  <c r="I233" i="19"/>
  <c r="K233" i="19" s="1"/>
  <c r="I211" i="17"/>
  <c r="K211" i="17" s="1"/>
  <c r="I212" i="17"/>
  <c r="K212" i="17" s="1"/>
  <c r="I216" i="18"/>
  <c r="K216" i="18" s="1"/>
  <c r="I213" i="17"/>
  <c r="K213" i="17" s="1"/>
  <c r="I217" i="18"/>
  <c r="K217" i="18" s="1"/>
  <c r="I205" i="19"/>
  <c r="K205" i="19" s="1"/>
  <c r="I250" i="16"/>
  <c r="K250" i="16" s="1"/>
  <c r="I206" i="19"/>
  <c r="K206" i="19" s="1"/>
  <c r="I251" i="16"/>
  <c r="K251" i="16" s="1"/>
  <c r="I252" i="16"/>
  <c r="K252" i="16" s="1"/>
  <c r="I196" i="20"/>
  <c r="K196" i="20" s="1"/>
  <c r="I199" i="18"/>
  <c r="K199" i="18" s="1"/>
  <c r="I193" i="20"/>
  <c r="K193" i="20" s="1"/>
  <c r="I196" i="18"/>
  <c r="K196" i="18" s="1"/>
  <c r="I194" i="20"/>
  <c r="K194" i="20" s="1"/>
  <c r="I195" i="20"/>
  <c r="K195" i="20" s="1"/>
  <c r="I197" i="20"/>
  <c r="K197" i="20" s="1"/>
  <c r="I197" i="18"/>
  <c r="K197" i="18" s="1"/>
  <c r="I192" i="17"/>
  <c r="K192" i="17" s="1"/>
  <c r="I198" i="18"/>
  <c r="K198" i="18" s="1"/>
  <c r="I200" i="18"/>
  <c r="K200" i="18" s="1"/>
  <c r="I194" i="17"/>
  <c r="K194" i="17" s="1"/>
  <c r="I201" i="18"/>
  <c r="K201" i="18" s="1"/>
  <c r="I195" i="17"/>
  <c r="K195" i="17" s="1"/>
  <c r="I196" i="17"/>
  <c r="K196" i="17" s="1"/>
  <c r="I187" i="19"/>
  <c r="K187" i="19" s="1"/>
  <c r="I232" i="16"/>
  <c r="K232" i="16" s="1"/>
  <c r="I188" i="19"/>
  <c r="K188" i="19" s="1"/>
  <c r="I233" i="16"/>
  <c r="K233" i="16" s="1"/>
  <c r="I189" i="19"/>
  <c r="K189" i="19" s="1"/>
  <c r="I192" i="20"/>
  <c r="K192" i="20" s="1"/>
  <c r="I234" i="16"/>
  <c r="K234" i="16" s="1"/>
  <c r="I190" i="19"/>
  <c r="K190" i="19" s="1"/>
  <c r="I235" i="16"/>
  <c r="K235" i="16" s="1"/>
  <c r="I191" i="17"/>
  <c r="K191" i="17" s="1"/>
  <c r="I236" i="16"/>
  <c r="K236" i="16" s="1"/>
  <c r="I193" i="17"/>
  <c r="K193" i="17" s="1"/>
  <c r="I237" i="16"/>
  <c r="K237" i="16" s="1"/>
  <c r="I185" i="19"/>
  <c r="K185" i="19" s="1"/>
  <c r="I32" i="20"/>
  <c r="K32" i="20" s="1"/>
  <c r="I32" i="18"/>
  <c r="K32" i="18" s="1"/>
  <c r="I32" i="17"/>
  <c r="I31" i="19"/>
  <c r="I21" i="20"/>
  <c r="K21" i="20" s="1"/>
  <c r="I22" i="20"/>
  <c r="K22" i="20" s="1"/>
  <c r="I22" i="17"/>
  <c r="K22" i="17" s="1"/>
  <c r="I21" i="18"/>
  <c r="K21" i="18" s="1"/>
  <c r="I22" i="18"/>
  <c r="K22" i="18" s="1"/>
  <c r="I35" i="16"/>
  <c r="K35" i="16" s="1"/>
  <c r="I36" i="16"/>
  <c r="K36" i="16" s="1"/>
  <c r="I37" i="16"/>
  <c r="K37" i="16" s="1"/>
  <c r="I20" i="19"/>
  <c r="K20" i="19" s="1"/>
  <c r="I21" i="19"/>
  <c r="K21" i="19" s="1"/>
  <c r="I22" i="14"/>
  <c r="K22" i="14" s="1"/>
  <c r="I260" i="14"/>
  <c r="K260" i="14" s="1"/>
  <c r="I252" i="14"/>
  <c r="K252" i="14" s="1"/>
  <c r="I244" i="14"/>
  <c r="K244" i="14" s="1"/>
  <c r="I228" i="14"/>
  <c r="K228" i="14" s="1"/>
  <c r="I220" i="14"/>
  <c r="K220" i="14" s="1"/>
  <c r="I212" i="14"/>
  <c r="K212" i="14" s="1"/>
  <c r="I204" i="14"/>
  <c r="K204" i="14" s="1"/>
  <c r="I196" i="14"/>
  <c r="I172" i="14"/>
  <c r="K172" i="14" s="1"/>
  <c r="I156" i="14"/>
  <c r="K156" i="14" s="1"/>
  <c r="I148" i="14"/>
  <c r="K148" i="14" s="1"/>
  <c r="I140" i="14"/>
  <c r="I132" i="14"/>
  <c r="K132" i="14" s="1"/>
  <c r="I100" i="14"/>
  <c r="K100" i="14" s="1"/>
  <c r="I92" i="14"/>
  <c r="K92" i="14" s="1"/>
  <c r="I84" i="14"/>
  <c r="K84" i="14" s="1"/>
  <c r="I75" i="14"/>
  <c r="K75" i="14" s="1"/>
  <c r="I65" i="14"/>
  <c r="K65" i="14" s="1"/>
  <c r="I28" i="14"/>
  <c r="K28" i="14" s="1"/>
  <c r="I12" i="14"/>
  <c r="K12" i="14" s="1"/>
  <c r="I254" i="19"/>
  <c r="K254" i="19" s="1"/>
  <c r="I191" i="19"/>
  <c r="K191" i="19" s="1"/>
  <c r="I10" i="19"/>
  <c r="K10" i="19" s="1"/>
  <c r="I254" i="16"/>
  <c r="K254" i="16" s="1"/>
  <c r="I186" i="16"/>
  <c r="K186" i="16" s="1"/>
  <c r="I102" i="16"/>
  <c r="K102" i="16" s="1"/>
  <c r="I239" i="17"/>
  <c r="K239" i="17" s="1"/>
  <c r="I206" i="18"/>
  <c r="K206" i="18" s="1"/>
  <c r="I31" i="18"/>
  <c r="K31" i="18" s="1"/>
  <c r="I29" i="20"/>
  <c r="K29" i="20" s="1"/>
  <c r="I30" i="20"/>
  <c r="I31" i="20"/>
  <c r="I30" i="17"/>
  <c r="K30" i="17" s="1"/>
  <c r="I29" i="18"/>
  <c r="K29" i="18" s="1"/>
  <c r="I30" i="18"/>
  <c r="K30" i="18" s="1"/>
  <c r="I51" i="16"/>
  <c r="K51" i="16" s="1"/>
  <c r="I52" i="16"/>
  <c r="K52" i="16" s="1"/>
  <c r="I29" i="17"/>
  <c r="K29" i="17" s="1"/>
  <c r="I53" i="16"/>
  <c r="K53" i="16" s="1"/>
  <c r="I31" i="17"/>
  <c r="K31" i="17" s="1"/>
  <c r="I28" i="19"/>
  <c r="K28" i="19" s="1"/>
  <c r="I29" i="19"/>
  <c r="K29" i="19" s="1"/>
  <c r="I30" i="19"/>
  <c r="K30" i="19" s="1"/>
  <c r="I8" i="20"/>
  <c r="K8" i="20" s="1"/>
  <c r="I9" i="20"/>
  <c r="K9" i="20" s="1"/>
  <c r="I10" i="16"/>
  <c r="K10" i="16" s="1"/>
  <c r="I9" i="17"/>
  <c r="K9" i="17" s="1"/>
  <c r="I11" i="16"/>
  <c r="K11" i="16" s="1"/>
  <c r="I8" i="18"/>
  <c r="K8" i="18" s="1"/>
  <c r="I10" i="17"/>
  <c r="K10" i="17" s="1"/>
  <c r="I9" i="18"/>
  <c r="K9" i="18" s="1"/>
  <c r="I7" i="19"/>
  <c r="I8" i="19"/>
  <c r="K8" i="19" s="1"/>
  <c r="I183" i="20"/>
  <c r="K183" i="20" s="1"/>
  <c r="I186" i="18"/>
  <c r="K186" i="18" s="1"/>
  <c r="I185" i="20"/>
  <c r="K185" i="20" s="1"/>
  <c r="I188" i="18"/>
  <c r="K188" i="18" s="1"/>
  <c r="I186" i="20"/>
  <c r="K186" i="20" s="1"/>
  <c r="I181" i="20"/>
  <c r="K181" i="20" s="1"/>
  <c r="I184" i="17"/>
  <c r="K184" i="17" s="1"/>
  <c r="I182" i="20"/>
  <c r="K182" i="20" s="1"/>
  <c r="I185" i="18"/>
  <c r="K185" i="18" s="1"/>
  <c r="I185" i="17"/>
  <c r="K185" i="17" s="1"/>
  <c r="I184" i="20"/>
  <c r="K184" i="20" s="1"/>
  <c r="I187" i="18"/>
  <c r="K187" i="18" s="1"/>
  <c r="I189" i="18"/>
  <c r="K189" i="18" s="1"/>
  <c r="I190" i="18"/>
  <c r="K190" i="18" s="1"/>
  <c r="I180" i="17"/>
  <c r="K180" i="17" s="1"/>
  <c r="I181" i="17"/>
  <c r="K181" i="17" s="1"/>
  <c r="I223" i="16"/>
  <c r="K223" i="16" s="1"/>
  <c r="I179" i="19"/>
  <c r="K179" i="19" s="1"/>
  <c r="I182" i="17"/>
  <c r="K182" i="17" s="1"/>
  <c r="I183" i="17"/>
  <c r="K183" i="17" s="1"/>
  <c r="I218" i="16"/>
  <c r="K218" i="16" s="1"/>
  <c r="I174" i="19"/>
  <c r="K174" i="19" s="1"/>
  <c r="I219" i="16"/>
  <c r="K219" i="16" s="1"/>
  <c r="I220" i="16"/>
  <c r="K220" i="16" s="1"/>
  <c r="I176" i="19"/>
  <c r="K176" i="19" s="1"/>
  <c r="I221" i="16"/>
  <c r="K221" i="16" s="1"/>
  <c r="I177" i="19"/>
  <c r="K177" i="19" s="1"/>
  <c r="I164" i="20"/>
  <c r="K164" i="20" s="1"/>
  <c r="I167" i="18"/>
  <c r="K167" i="18" s="1"/>
  <c r="I163" i="20"/>
  <c r="K163" i="20" s="1"/>
  <c r="I169" i="18"/>
  <c r="K169" i="18" s="1"/>
  <c r="I165" i="20"/>
  <c r="K165" i="20" s="1"/>
  <c r="I162" i="17"/>
  <c r="K162" i="17" s="1"/>
  <c r="I163" i="17"/>
  <c r="K163" i="17" s="1"/>
  <c r="I164" i="17"/>
  <c r="K164" i="17" s="1"/>
  <c r="I163" i="19"/>
  <c r="K163" i="19" s="1"/>
  <c r="I200" i="16"/>
  <c r="K200" i="16" s="1"/>
  <c r="I201" i="16"/>
  <c r="K201" i="16" s="1"/>
  <c r="I202" i="16"/>
  <c r="K202" i="16" s="1"/>
  <c r="I168" i="18"/>
  <c r="K168" i="18" s="1"/>
  <c r="I161" i="19"/>
  <c r="K161" i="19" s="1"/>
  <c r="I34" i="18"/>
  <c r="K34" i="18" s="1"/>
  <c r="I33" i="20"/>
  <c r="K33" i="20" s="1"/>
  <c r="I34" i="20"/>
  <c r="K34" i="20" s="1"/>
  <c r="I33" i="17"/>
  <c r="K33" i="17" s="1"/>
  <c r="I34" i="17"/>
  <c r="K34" i="17" s="1"/>
  <c r="I33" i="18"/>
  <c r="K33" i="18" s="1"/>
  <c r="I55" i="16"/>
  <c r="K55" i="16" s="1"/>
  <c r="I56" i="16"/>
  <c r="K56" i="16" s="1"/>
  <c r="I34" i="14"/>
  <c r="K34" i="14" s="1"/>
  <c r="I32" i="19"/>
  <c r="K32" i="19" s="1"/>
  <c r="I33" i="19"/>
  <c r="K33" i="19" s="1"/>
  <c r="I268" i="18"/>
  <c r="K268" i="18" s="1"/>
  <c r="I261" i="20"/>
  <c r="K261" i="20" s="1"/>
  <c r="I264" i="17"/>
  <c r="K264" i="17" s="1"/>
  <c r="I295" i="16"/>
  <c r="K295" i="16" s="1"/>
  <c r="I293" i="16"/>
  <c r="K293" i="16" s="1"/>
  <c r="I247" i="20"/>
  <c r="K247" i="20" s="1"/>
  <c r="I249" i="20"/>
  <c r="K249" i="20" s="1"/>
  <c r="I252" i="18"/>
  <c r="K252" i="18" s="1"/>
  <c r="I250" i="20"/>
  <c r="K250" i="20" s="1"/>
  <c r="I245" i="20"/>
  <c r="K245" i="20" s="1"/>
  <c r="I253" i="18"/>
  <c r="K253" i="18" s="1"/>
  <c r="I248" i="17"/>
  <c r="K248" i="17" s="1"/>
  <c r="I246" i="20"/>
  <c r="I254" i="18"/>
  <c r="K254" i="18" s="1"/>
  <c r="I248" i="20"/>
  <c r="K248" i="20" s="1"/>
  <c r="I255" i="18"/>
  <c r="K255" i="18" s="1"/>
  <c r="I250" i="17"/>
  <c r="K250" i="17" s="1"/>
  <c r="I256" i="18"/>
  <c r="K256" i="18" s="1"/>
  <c r="I251" i="17"/>
  <c r="K251" i="17" s="1"/>
  <c r="I257" i="18"/>
  <c r="K257" i="18" s="1"/>
  <c r="I252" i="17"/>
  <c r="K252" i="17" s="1"/>
  <c r="I253" i="17"/>
  <c r="K253" i="17" s="1"/>
  <c r="I287" i="16"/>
  <c r="K287" i="16" s="1"/>
  <c r="I243" i="19"/>
  <c r="K243" i="19" s="1"/>
  <c r="I288" i="16"/>
  <c r="K288" i="16" s="1"/>
  <c r="I244" i="19"/>
  <c r="K244" i="19" s="1"/>
  <c r="I289" i="16"/>
  <c r="K289" i="16" s="1"/>
  <c r="I245" i="19"/>
  <c r="K245" i="19" s="1"/>
  <c r="I249" i="17"/>
  <c r="K249" i="17" s="1"/>
  <c r="I290" i="16"/>
  <c r="K290" i="16" s="1"/>
  <c r="I246" i="19"/>
  <c r="K246" i="19" s="1"/>
  <c r="I291" i="16"/>
  <c r="K291" i="16" s="1"/>
  <c r="I292" i="16"/>
  <c r="K292" i="16" s="1"/>
  <c r="I296" i="16"/>
  <c r="K296" i="16" s="1"/>
  <c r="I297" i="16"/>
  <c r="K297" i="16" s="1"/>
  <c r="I298" i="16"/>
  <c r="K298" i="16" s="1"/>
  <c r="I228" i="20"/>
  <c r="K228" i="20" s="1"/>
  <c r="I231" i="20"/>
  <c r="K231" i="20" s="1"/>
  <c r="I234" i="18"/>
  <c r="K234" i="18" s="1"/>
  <c r="I233" i="20"/>
  <c r="K233" i="20" s="1"/>
  <c r="I236" i="18"/>
  <c r="K236" i="18" s="1"/>
  <c r="I226" i="20"/>
  <c r="K226" i="20" s="1"/>
  <c r="I227" i="20"/>
  <c r="K227" i="20" s="1"/>
  <c r="I240" i="18"/>
  <c r="I229" i="20"/>
  <c r="K229" i="20" s="1"/>
  <c r="I232" i="17"/>
  <c r="K232" i="17" s="1"/>
  <c r="I230" i="20"/>
  <c r="K230" i="20" s="1"/>
  <c r="I232" i="20"/>
  <c r="K232" i="20" s="1"/>
  <c r="I233" i="18"/>
  <c r="K233" i="18" s="1"/>
  <c r="I234" i="17"/>
  <c r="K234" i="17" s="1"/>
  <c r="I235" i="18"/>
  <c r="K235" i="18" s="1"/>
  <c r="I235" i="17"/>
  <c r="K235" i="17" s="1"/>
  <c r="I237" i="18"/>
  <c r="K237" i="18" s="1"/>
  <c r="I236" i="17"/>
  <c r="K236" i="17" s="1"/>
  <c r="I238" i="18"/>
  <c r="K238" i="18" s="1"/>
  <c r="I229" i="17"/>
  <c r="K229" i="17" s="1"/>
  <c r="I271" i="16"/>
  <c r="K271" i="16" s="1"/>
  <c r="I227" i="19"/>
  <c r="I272" i="16"/>
  <c r="K272" i="16" s="1"/>
  <c r="I228" i="19"/>
  <c r="K228" i="19" s="1"/>
  <c r="I239" i="18"/>
  <c r="K239" i="18" s="1"/>
  <c r="I273" i="16"/>
  <c r="K273" i="16" s="1"/>
  <c r="I229" i="19"/>
  <c r="K229" i="19" s="1"/>
  <c r="I230" i="17"/>
  <c r="K230" i="17" s="1"/>
  <c r="I274" i="16"/>
  <c r="K274" i="16" s="1"/>
  <c r="I230" i="19"/>
  <c r="K230" i="19" s="1"/>
  <c r="I231" i="17"/>
  <c r="K231" i="17" s="1"/>
  <c r="I275" i="16"/>
  <c r="K275" i="16" s="1"/>
  <c r="I233" i="17"/>
  <c r="K233" i="17" s="1"/>
  <c r="I268" i="16"/>
  <c r="K268" i="16" s="1"/>
  <c r="I224" i="19"/>
  <c r="K224" i="19" s="1"/>
  <c r="I269" i="16"/>
  <c r="K269" i="16" s="1"/>
  <c r="I225" i="19"/>
  <c r="K225" i="19" s="1"/>
  <c r="I188" i="20"/>
  <c r="K188" i="20" s="1"/>
  <c r="I191" i="18"/>
  <c r="K191" i="18" s="1"/>
  <c r="I191" i="20"/>
  <c r="K191" i="20" s="1"/>
  <c r="I194" i="18"/>
  <c r="K194" i="18" s="1"/>
  <c r="I195" i="18"/>
  <c r="K195" i="18" s="1"/>
  <c r="I186" i="17"/>
  <c r="I187" i="20"/>
  <c r="K187" i="20" s="1"/>
  <c r="I187" i="17"/>
  <c r="K187" i="17" s="1"/>
  <c r="I189" i="20"/>
  <c r="K189" i="20" s="1"/>
  <c r="I188" i="17"/>
  <c r="K188" i="17" s="1"/>
  <c r="I190" i="20"/>
  <c r="K190" i="20" s="1"/>
  <c r="I192" i="18"/>
  <c r="K192" i="18" s="1"/>
  <c r="I189" i="17"/>
  <c r="K189" i="17" s="1"/>
  <c r="I231" i="16"/>
  <c r="K231" i="16" s="1"/>
  <c r="I224" i="16"/>
  <c r="K224" i="16" s="1"/>
  <c r="I180" i="19"/>
  <c r="K180" i="19" s="1"/>
  <c r="I225" i="16"/>
  <c r="K225" i="16" s="1"/>
  <c r="I181" i="19"/>
  <c r="K181" i="19" s="1"/>
  <c r="I226" i="16"/>
  <c r="K226" i="16" s="1"/>
  <c r="I182" i="19"/>
  <c r="K182" i="19" s="1"/>
  <c r="I190" i="17"/>
  <c r="K190" i="17" s="1"/>
  <c r="I227" i="16"/>
  <c r="K227" i="16" s="1"/>
  <c r="I228" i="16"/>
  <c r="K228" i="16" s="1"/>
  <c r="I184" i="19"/>
  <c r="K184" i="19" s="1"/>
  <c r="I193" i="18"/>
  <c r="K193" i="18" s="1"/>
  <c r="I229" i="16"/>
  <c r="K229" i="16" s="1"/>
  <c r="I175" i="18"/>
  <c r="K175" i="18" s="1"/>
  <c r="I169" i="20"/>
  <c r="K169" i="20" s="1"/>
  <c r="I170" i="20"/>
  <c r="K170" i="20" s="1"/>
  <c r="I168" i="17"/>
  <c r="K168" i="17" s="1"/>
  <c r="I173" i="18"/>
  <c r="K173" i="18" s="1"/>
  <c r="I169" i="17"/>
  <c r="K169" i="17" s="1"/>
  <c r="I174" i="18"/>
  <c r="K174" i="18" s="1"/>
  <c r="I170" i="17"/>
  <c r="K170" i="17" s="1"/>
  <c r="I171" i="20"/>
  <c r="K171" i="20" s="1"/>
  <c r="I207" i="16"/>
  <c r="K207" i="16" s="1"/>
  <c r="I208" i="16"/>
  <c r="K208" i="16" s="1"/>
  <c r="I168" i="19"/>
  <c r="K168" i="19" s="1"/>
  <c r="I169" i="19"/>
  <c r="K169" i="19" s="1"/>
  <c r="I197" i="16"/>
  <c r="K197" i="16" s="1"/>
  <c r="I199" i="16"/>
  <c r="K199" i="16" s="1"/>
  <c r="I138" i="18"/>
  <c r="K138" i="18" s="1"/>
  <c r="I137" i="20"/>
  <c r="K137" i="20" s="1"/>
  <c r="I138" i="20"/>
  <c r="K138" i="20" s="1"/>
  <c r="I135" i="17"/>
  <c r="K135" i="17" s="1"/>
  <c r="I136" i="20"/>
  <c r="K136" i="20" s="1"/>
  <c r="I136" i="18"/>
  <c r="K136" i="18" s="1"/>
  <c r="I136" i="17"/>
  <c r="K136" i="17" s="1"/>
  <c r="I137" i="18"/>
  <c r="K137" i="18" s="1"/>
  <c r="I137" i="17"/>
  <c r="K137" i="17" s="1"/>
  <c r="I167" i="16"/>
  <c r="K167" i="16" s="1"/>
  <c r="I131" i="19"/>
  <c r="K131" i="19" s="1"/>
  <c r="I168" i="16"/>
  <c r="K168" i="16" s="1"/>
  <c r="I169" i="16"/>
  <c r="I129" i="19"/>
  <c r="K129" i="19" s="1"/>
  <c r="I132" i="20"/>
  <c r="K132" i="20" s="1"/>
  <c r="I135" i="18"/>
  <c r="K135" i="18" s="1"/>
  <c r="I135" i="20"/>
  <c r="K135" i="20" s="1"/>
  <c r="I134" i="17"/>
  <c r="K134" i="17" s="1"/>
  <c r="I132" i="18"/>
  <c r="K132" i="18" s="1"/>
  <c r="I131" i="20"/>
  <c r="K131" i="20" s="1"/>
  <c r="I131" i="18"/>
  <c r="K131" i="18" s="1"/>
  <c r="I133" i="20"/>
  <c r="K133" i="20" s="1"/>
  <c r="I133" i="18"/>
  <c r="K133" i="18" s="1"/>
  <c r="I133" i="17"/>
  <c r="K133" i="17" s="1"/>
  <c r="I134" i="20"/>
  <c r="K134" i="20" s="1"/>
  <c r="I134" i="18"/>
  <c r="K134" i="18" s="1"/>
  <c r="I163" i="16"/>
  <c r="K163" i="16" s="1"/>
  <c r="I129" i="17"/>
  <c r="K129" i="17" s="1"/>
  <c r="I130" i="17"/>
  <c r="K130" i="17" s="1"/>
  <c r="I165" i="16"/>
  <c r="K165" i="16" s="1"/>
  <c r="I123" i="19"/>
  <c r="K123" i="19" s="1"/>
  <c r="I124" i="19"/>
  <c r="K124" i="19" s="1"/>
  <c r="I125" i="19"/>
  <c r="K125" i="19" s="1"/>
  <c r="I126" i="19"/>
  <c r="K126" i="19" s="1"/>
  <c r="I161" i="16"/>
  <c r="K161" i="16" s="1"/>
  <c r="I162" i="16"/>
  <c r="K162" i="16" s="1"/>
  <c r="I128" i="19"/>
  <c r="K128" i="19" s="1"/>
  <c r="I131" i="17"/>
  <c r="K131" i="17" s="1"/>
  <c r="I164" i="16"/>
  <c r="K164" i="16" s="1"/>
  <c r="I123" i="20"/>
  <c r="K123" i="20" s="1"/>
  <c r="I124" i="20"/>
  <c r="K124" i="20" s="1"/>
  <c r="I125" i="20"/>
  <c r="K125" i="20" s="1"/>
  <c r="I126" i="20"/>
  <c r="K126" i="20" s="1"/>
  <c r="I122" i="18"/>
  <c r="K122" i="18" s="1"/>
  <c r="I124" i="18"/>
  <c r="K124" i="18" s="1"/>
  <c r="I122" i="20"/>
  <c r="K122" i="20" s="1"/>
  <c r="I124" i="17"/>
  <c r="K124" i="17" s="1"/>
  <c r="I123" i="18"/>
  <c r="K123" i="18" s="1"/>
  <c r="I125" i="18"/>
  <c r="K125" i="18" s="1"/>
  <c r="I155" i="16"/>
  <c r="K155" i="16" s="1"/>
  <c r="I126" i="18"/>
  <c r="K126" i="18" s="1"/>
  <c r="I120" i="17"/>
  <c r="K120" i="17" s="1"/>
  <c r="I121" i="17"/>
  <c r="I156" i="16"/>
  <c r="K156" i="16" s="1"/>
  <c r="I115" i="19"/>
  <c r="K115" i="19" s="1"/>
  <c r="I116" i="19"/>
  <c r="K116" i="19" s="1"/>
  <c r="I117" i="19"/>
  <c r="K117" i="19" s="1"/>
  <c r="I118" i="19"/>
  <c r="K118" i="19" s="1"/>
  <c r="I122" i="17"/>
  <c r="K122" i="17" s="1"/>
  <c r="I123" i="17"/>
  <c r="K123" i="17" s="1"/>
  <c r="I152" i="16"/>
  <c r="K152" i="16" s="1"/>
  <c r="I153" i="16"/>
  <c r="K153" i="16" s="1"/>
  <c r="I119" i="18"/>
  <c r="K119" i="18" s="1"/>
  <c r="I118" i="20"/>
  <c r="K118" i="20" s="1"/>
  <c r="I119" i="20"/>
  <c r="K119" i="20" s="1"/>
  <c r="I118" i="17"/>
  <c r="K118" i="17" s="1"/>
  <c r="I120" i="20"/>
  <c r="K120" i="20" s="1"/>
  <c r="I121" i="20"/>
  <c r="K121" i="20" s="1"/>
  <c r="I118" i="18"/>
  <c r="K118" i="18" s="1"/>
  <c r="I120" i="18"/>
  <c r="K120" i="18" s="1"/>
  <c r="I121" i="18"/>
  <c r="K121" i="18" s="1"/>
  <c r="I116" i="17"/>
  <c r="K116" i="17" s="1"/>
  <c r="I117" i="17"/>
  <c r="K117" i="17" s="1"/>
  <c r="I119" i="17"/>
  <c r="K119" i="17" s="1"/>
  <c r="I149" i="16"/>
  <c r="K149" i="16" s="1"/>
  <c r="I148" i="16"/>
  <c r="K148" i="16" s="1"/>
  <c r="I150" i="16"/>
  <c r="K150" i="16" s="1"/>
  <c r="I110" i="19"/>
  <c r="K110" i="19" s="1"/>
  <c r="I151" i="16"/>
  <c r="K151" i="16" s="1"/>
  <c r="I111" i="19"/>
  <c r="K111" i="19" s="1"/>
  <c r="I112" i="19"/>
  <c r="K112" i="19" s="1"/>
  <c r="I113" i="19"/>
  <c r="K113" i="19" s="1"/>
  <c r="I115" i="20"/>
  <c r="K115" i="20" s="1"/>
  <c r="I116" i="20"/>
  <c r="K116" i="20" s="1"/>
  <c r="I117" i="20"/>
  <c r="K117" i="20" s="1"/>
  <c r="I114" i="18"/>
  <c r="K114" i="18" s="1"/>
  <c r="I113" i="20"/>
  <c r="K113" i="20" s="1"/>
  <c r="I116" i="18"/>
  <c r="K116" i="18" s="1"/>
  <c r="I114" i="20"/>
  <c r="K114" i="20" s="1"/>
  <c r="I115" i="17"/>
  <c r="K115" i="17" s="1"/>
  <c r="I147" i="16"/>
  <c r="K147" i="16" s="1"/>
  <c r="I113" i="18"/>
  <c r="K113" i="18" s="1"/>
  <c r="I111" i="17"/>
  <c r="K111" i="17" s="1"/>
  <c r="I115" i="18"/>
  <c r="K115" i="18" s="1"/>
  <c r="I112" i="17"/>
  <c r="K112" i="17" s="1"/>
  <c r="I117" i="18"/>
  <c r="K117" i="18" s="1"/>
  <c r="I145" i="16"/>
  <c r="K145" i="16" s="1"/>
  <c r="I107" i="19"/>
  <c r="K107" i="19" s="1"/>
  <c r="I146" i="16"/>
  <c r="I108" i="19"/>
  <c r="K108" i="19" s="1"/>
  <c r="I113" i="17"/>
  <c r="K113" i="17" s="1"/>
  <c r="I109" i="19"/>
  <c r="K109" i="19" s="1"/>
  <c r="I114" i="17"/>
  <c r="K114" i="17" s="1"/>
  <c r="I143" i="16"/>
  <c r="K143" i="16" s="1"/>
  <c r="I105" i="19"/>
  <c r="K105" i="19" s="1"/>
  <c r="I107" i="20"/>
  <c r="K107" i="20" s="1"/>
  <c r="I108" i="20"/>
  <c r="K108" i="20" s="1"/>
  <c r="I109" i="20"/>
  <c r="K109" i="20" s="1"/>
  <c r="I108" i="18"/>
  <c r="K108" i="18" s="1"/>
  <c r="I107" i="18"/>
  <c r="K107" i="18" s="1"/>
  <c r="I106" i="17"/>
  <c r="K106" i="17" s="1"/>
  <c r="I109" i="18"/>
  <c r="K109" i="18" s="1"/>
  <c r="I107" i="17"/>
  <c r="K107" i="17" s="1"/>
  <c r="I139" i="16"/>
  <c r="K139" i="16" s="1"/>
  <c r="I105" i="17"/>
  <c r="K105" i="17" s="1"/>
  <c r="I137" i="16"/>
  <c r="K137" i="16" s="1"/>
  <c r="I138" i="16"/>
  <c r="K138" i="16" s="1"/>
  <c r="I102" i="19"/>
  <c r="K102" i="19" s="1"/>
  <c r="I103" i="19"/>
  <c r="K103" i="19" s="1"/>
  <c r="I104" i="19"/>
  <c r="K104" i="19" s="1"/>
  <c r="I68" i="20"/>
  <c r="K68" i="20" s="1"/>
  <c r="I71" i="18"/>
  <c r="K71" i="18" s="1"/>
  <c r="I69" i="20"/>
  <c r="K69" i="20" s="1"/>
  <c r="I70" i="20"/>
  <c r="K70" i="20" s="1"/>
  <c r="I71" i="20"/>
  <c r="K71" i="20" s="1"/>
  <c r="I70" i="17"/>
  <c r="K70" i="17" s="1"/>
  <c r="I69" i="18"/>
  <c r="K69" i="18" s="1"/>
  <c r="I69" i="17"/>
  <c r="K69" i="17" s="1"/>
  <c r="I70" i="18"/>
  <c r="K70" i="18" s="1"/>
  <c r="I71" i="17"/>
  <c r="K71" i="17" s="1"/>
  <c r="I72" i="18"/>
  <c r="K72" i="18" s="1"/>
  <c r="I93" i="16"/>
  <c r="K93" i="16" s="1"/>
  <c r="I67" i="19"/>
  <c r="K67" i="19" s="1"/>
  <c r="I68" i="17"/>
  <c r="K68" i="17" s="1"/>
  <c r="I94" i="16"/>
  <c r="K94" i="16" s="1"/>
  <c r="I68" i="19"/>
  <c r="K68" i="19" s="1"/>
  <c r="I95" i="16"/>
  <c r="K95" i="16" s="1"/>
  <c r="I69" i="19"/>
  <c r="K69" i="19" s="1"/>
  <c r="I96" i="16"/>
  <c r="K96" i="16" s="1"/>
  <c r="I59" i="20"/>
  <c r="K59" i="20" s="1"/>
  <c r="I60" i="20"/>
  <c r="I60" i="18"/>
  <c r="K60" i="18" s="1"/>
  <c r="I60" i="17"/>
  <c r="K60" i="17" s="1"/>
  <c r="I61" i="18"/>
  <c r="K61" i="18" s="1"/>
  <c r="I83" i="16"/>
  <c r="K83" i="16" s="1"/>
  <c r="I58" i="14"/>
  <c r="K58" i="14" s="1"/>
  <c r="I82" i="16"/>
  <c r="K82" i="16" s="1"/>
  <c r="I57" i="19"/>
  <c r="K57" i="19" s="1"/>
  <c r="I55" i="18"/>
  <c r="K55" i="18" s="1"/>
  <c r="I53" i="20"/>
  <c r="K53" i="20" s="1"/>
  <c r="I54" i="20"/>
  <c r="K54" i="20" s="1"/>
  <c r="I55" i="20"/>
  <c r="K55" i="20" s="1"/>
  <c r="I58" i="18"/>
  <c r="K58" i="18" s="1"/>
  <c r="I54" i="17"/>
  <c r="K54" i="17" s="1"/>
  <c r="I56" i="20"/>
  <c r="K56" i="20" s="1"/>
  <c r="I57" i="20"/>
  <c r="K57" i="20" s="1"/>
  <c r="I58" i="20"/>
  <c r="K58" i="20" s="1"/>
  <c r="I54" i="18"/>
  <c r="K54" i="18" s="1"/>
  <c r="I56" i="18"/>
  <c r="K56" i="18" s="1"/>
  <c r="I57" i="18"/>
  <c r="K57" i="18" s="1"/>
  <c r="I59" i="18"/>
  <c r="K59" i="18" s="1"/>
  <c r="I53" i="17"/>
  <c r="K53" i="17" s="1"/>
  <c r="I55" i="17"/>
  <c r="K55" i="17" s="1"/>
  <c r="I56" i="17"/>
  <c r="K56" i="17" s="1"/>
  <c r="I76" i="16"/>
  <c r="K76" i="16" s="1"/>
  <c r="I57" i="17"/>
  <c r="K57" i="17" s="1"/>
  <c r="I77" i="16"/>
  <c r="K77" i="16" s="1"/>
  <c r="I80" i="16"/>
  <c r="K80" i="16" s="1"/>
  <c r="I51" i="19"/>
  <c r="K51" i="19" s="1"/>
  <c r="I81" i="16"/>
  <c r="K81" i="16" s="1"/>
  <c r="I52" i="19"/>
  <c r="K52" i="19" s="1"/>
  <c r="I53" i="19"/>
  <c r="K53" i="19" s="1"/>
  <c r="I54" i="19"/>
  <c r="K54" i="19" s="1"/>
  <c r="I55" i="19"/>
  <c r="K55" i="19" s="1"/>
  <c r="I56" i="19"/>
  <c r="K56" i="19" s="1"/>
  <c r="I58" i="17"/>
  <c r="K58" i="17" s="1"/>
  <c r="I78" i="16"/>
  <c r="K78" i="16" s="1"/>
  <c r="I51" i="20"/>
  <c r="K51" i="20" s="1"/>
  <c r="I52" i="20"/>
  <c r="K52" i="20" s="1"/>
  <c r="I50" i="18"/>
  <c r="K50" i="18" s="1"/>
  <c r="I49" i="20"/>
  <c r="K49" i="20" s="1"/>
  <c r="I52" i="18"/>
  <c r="K52" i="18" s="1"/>
  <c r="I50" i="20"/>
  <c r="K50" i="20" s="1"/>
  <c r="I51" i="17"/>
  <c r="K51" i="17" s="1"/>
  <c r="I52" i="17"/>
  <c r="K52" i="17" s="1"/>
  <c r="I75" i="16"/>
  <c r="K75" i="16" s="1"/>
  <c r="I51" i="18"/>
  <c r="K51" i="18" s="1"/>
  <c r="I50" i="14"/>
  <c r="I53" i="18"/>
  <c r="I72" i="16"/>
  <c r="K72" i="16" s="1"/>
  <c r="I49" i="17"/>
  <c r="K49" i="17" s="1"/>
  <c r="I73" i="16"/>
  <c r="K73" i="16" s="1"/>
  <c r="I47" i="19"/>
  <c r="K47" i="19" s="1"/>
  <c r="I50" i="17"/>
  <c r="K50" i="17" s="1"/>
  <c r="I74" i="16"/>
  <c r="K74" i="16" s="1"/>
  <c r="I48" i="19"/>
  <c r="K48" i="19" s="1"/>
  <c r="I49" i="19"/>
  <c r="K49" i="19" s="1"/>
  <c r="I47" i="18"/>
  <c r="K47" i="18" s="1"/>
  <c r="I47" i="20"/>
  <c r="K47" i="20" s="1"/>
  <c r="I46" i="17"/>
  <c r="K46" i="17" s="1"/>
  <c r="I48" i="20"/>
  <c r="K48" i="20" s="1"/>
  <c r="I46" i="18"/>
  <c r="K46" i="18" s="1"/>
  <c r="I48" i="18"/>
  <c r="K48" i="18" s="1"/>
  <c r="I49" i="18"/>
  <c r="K49" i="18" s="1"/>
  <c r="I47" i="17"/>
  <c r="K47" i="17" s="1"/>
  <c r="I68" i="16"/>
  <c r="K68" i="16" s="1"/>
  <c r="I48" i="17"/>
  <c r="K48" i="17" s="1"/>
  <c r="I69" i="16"/>
  <c r="K69" i="16" s="1"/>
  <c r="I43" i="19"/>
  <c r="K43" i="19" s="1"/>
  <c r="I70" i="16"/>
  <c r="K70" i="16" s="1"/>
  <c r="I44" i="19"/>
  <c r="K44" i="19" s="1"/>
  <c r="I71" i="16"/>
  <c r="K71" i="16" s="1"/>
  <c r="I45" i="19"/>
  <c r="K45" i="19" s="1"/>
  <c r="I46" i="19"/>
  <c r="K46" i="19" s="1"/>
  <c r="I39" i="18"/>
  <c r="K39" i="18" s="1"/>
  <c r="I38" i="20"/>
  <c r="K38" i="20" s="1"/>
  <c r="I39" i="20"/>
  <c r="K39" i="20" s="1"/>
  <c r="I38" i="17"/>
  <c r="K38" i="17" s="1"/>
  <c r="I40" i="20"/>
  <c r="K40" i="20" s="1"/>
  <c r="I60" i="16"/>
  <c r="K60" i="16" s="1"/>
  <c r="I38" i="18"/>
  <c r="K38" i="18" s="1"/>
  <c r="I39" i="17"/>
  <c r="K39" i="17" s="1"/>
  <c r="I61" i="16"/>
  <c r="K61" i="16" s="1"/>
  <c r="I40" i="18"/>
  <c r="K40" i="18" s="1"/>
  <c r="I40" i="17"/>
  <c r="K40" i="17" s="1"/>
  <c r="I37" i="19"/>
  <c r="K37" i="19" s="1"/>
  <c r="I38" i="19"/>
  <c r="K38" i="19" s="1"/>
  <c r="I62" i="16"/>
  <c r="K62" i="16" s="1"/>
  <c r="I14" i="17"/>
  <c r="K14" i="17" s="1"/>
  <c r="I15" i="17"/>
  <c r="K15" i="17" s="1"/>
  <c r="I16" i="16"/>
  <c r="K16" i="16" s="1"/>
  <c r="I12" i="19"/>
  <c r="K12" i="19" s="1"/>
  <c r="I13" i="19"/>
  <c r="K13" i="19" s="1"/>
  <c r="I7" i="18"/>
  <c r="K7" i="18" s="1"/>
  <c r="I6" i="20"/>
  <c r="K6" i="20" s="1"/>
  <c r="I7" i="20"/>
  <c r="K7" i="20" s="1"/>
  <c r="I6" i="17"/>
  <c r="K6" i="17" s="1"/>
  <c r="I8" i="16"/>
  <c r="K8" i="16" s="1"/>
  <c r="I7" i="17"/>
  <c r="K7" i="17" s="1"/>
  <c r="I8" i="17"/>
  <c r="K8" i="17" s="1"/>
  <c r="I6" i="18"/>
  <c r="K6" i="18" s="1"/>
  <c r="I4" i="19"/>
  <c r="K4" i="19" s="1"/>
  <c r="I6" i="16"/>
  <c r="K6" i="16" s="1"/>
  <c r="I5" i="19"/>
  <c r="K5" i="19" s="1"/>
  <c r="I7" i="16"/>
  <c r="K7" i="16" s="1"/>
  <c r="I6" i="19"/>
  <c r="K6" i="19" s="1"/>
  <c r="I9" i="16"/>
  <c r="K9" i="16" s="1"/>
  <c r="I6" i="14"/>
  <c r="K6" i="14" s="1"/>
  <c r="I7" i="14"/>
  <c r="K7" i="14" s="1"/>
  <c r="I251" i="14"/>
  <c r="K251" i="14" s="1"/>
  <c r="I243" i="14"/>
  <c r="I235" i="14"/>
  <c r="K235" i="14" s="1"/>
  <c r="I227" i="14"/>
  <c r="K227" i="14" s="1"/>
  <c r="I219" i="14"/>
  <c r="K219" i="14" s="1"/>
  <c r="I211" i="14"/>
  <c r="K211" i="14" s="1"/>
  <c r="I203" i="14"/>
  <c r="K203" i="14" s="1"/>
  <c r="I195" i="14"/>
  <c r="K195" i="14" s="1"/>
  <c r="I187" i="14"/>
  <c r="K187" i="14" s="1"/>
  <c r="I179" i="14"/>
  <c r="K179" i="14" s="1"/>
  <c r="I171" i="14"/>
  <c r="K171" i="14" s="1"/>
  <c r="I163" i="14"/>
  <c r="K163" i="14" s="1"/>
  <c r="I155" i="14"/>
  <c r="K155" i="14" s="1"/>
  <c r="I131" i="14"/>
  <c r="K131" i="14" s="1"/>
  <c r="I123" i="14"/>
  <c r="K123" i="14" s="1"/>
  <c r="I115" i="14"/>
  <c r="K115" i="14" s="1"/>
  <c r="I107" i="14"/>
  <c r="K107" i="14" s="1"/>
  <c r="I99" i="14"/>
  <c r="K99" i="14" s="1"/>
  <c r="I91" i="14"/>
  <c r="K91" i="14" s="1"/>
  <c r="I83" i="14"/>
  <c r="K83" i="14" s="1"/>
  <c r="I73" i="14"/>
  <c r="K73" i="14" s="1"/>
  <c r="I64" i="14"/>
  <c r="K64" i="14" s="1"/>
  <c r="I55" i="14"/>
  <c r="K55" i="14" s="1"/>
  <c r="I46" i="14"/>
  <c r="K46" i="14" s="1"/>
  <c r="I37" i="14"/>
  <c r="I25" i="14"/>
  <c r="K25" i="14" s="1"/>
  <c r="I9" i="14"/>
  <c r="K9" i="14" s="1"/>
  <c r="I250" i="19"/>
  <c r="K250" i="19" s="1"/>
  <c r="I218" i="19"/>
  <c r="K218" i="19" s="1"/>
  <c r="I186" i="19"/>
  <c r="K186" i="19" s="1"/>
  <c r="I154" i="19"/>
  <c r="K154" i="19" s="1"/>
  <c r="I66" i="19"/>
  <c r="K66" i="19" s="1"/>
  <c r="I176" i="16"/>
  <c r="K176" i="16" s="1"/>
  <c r="I90" i="16"/>
  <c r="K90" i="16" s="1"/>
  <c r="I217" i="17"/>
  <c r="K217" i="17" s="1"/>
  <c r="I104" i="18"/>
  <c r="K104" i="18" s="1"/>
  <c r="K86" i="18"/>
  <c r="I255" i="20"/>
  <c r="K255" i="20" s="1"/>
  <c r="I262" i="18"/>
  <c r="K262" i="18" s="1"/>
  <c r="I263" i="18"/>
  <c r="K263" i="18" s="1"/>
  <c r="I258" i="17"/>
  <c r="K258" i="17" s="1"/>
  <c r="I259" i="17"/>
  <c r="K259" i="17" s="1"/>
  <c r="I254" i="20"/>
  <c r="K254" i="20" s="1"/>
  <c r="I251" i="19"/>
  <c r="K251" i="19" s="1"/>
  <c r="I252" i="19"/>
  <c r="K252" i="19" s="1"/>
  <c r="I253" i="19"/>
  <c r="K253" i="19" s="1"/>
  <c r="I261" i="18"/>
  <c r="K261" i="18" s="1"/>
  <c r="I257" i="17"/>
  <c r="K257" i="17" s="1"/>
  <c r="I260" i="20"/>
  <c r="K260" i="20" s="1"/>
  <c r="I266" i="18"/>
  <c r="K266" i="18" s="1"/>
  <c r="I257" i="20"/>
  <c r="K257" i="20" s="1"/>
  <c r="I258" i="20"/>
  <c r="K258" i="20" s="1"/>
  <c r="I259" i="20"/>
  <c r="K259" i="20" s="1"/>
  <c r="I264" i="18"/>
  <c r="K264" i="18" s="1"/>
  <c r="I265" i="18"/>
  <c r="K265" i="18" s="1"/>
  <c r="I267" i="18"/>
  <c r="K267" i="18" s="1"/>
  <c r="I260" i="17"/>
  <c r="K260" i="17" s="1"/>
  <c r="I261" i="17"/>
  <c r="K261" i="17" s="1"/>
  <c r="I263" i="17"/>
  <c r="K263" i="17" s="1"/>
  <c r="I256" i="19"/>
  <c r="K256" i="19" s="1"/>
  <c r="I257" i="19"/>
  <c r="K257" i="19" s="1"/>
  <c r="I303" i="16"/>
  <c r="K303" i="16" s="1"/>
  <c r="I304" i="16"/>
  <c r="K304" i="16" s="1"/>
  <c r="I305" i="16"/>
  <c r="K305" i="16" s="1"/>
  <c r="I207" i="20"/>
  <c r="K207" i="20" s="1"/>
  <c r="I209" i="20"/>
  <c r="K209" i="20" s="1"/>
  <c r="I212" i="18"/>
  <c r="K212" i="18" s="1"/>
  <c r="I210" i="20"/>
  <c r="I208" i="17"/>
  <c r="K208" i="17" s="1"/>
  <c r="I213" i="18"/>
  <c r="K213" i="18" s="1"/>
  <c r="I210" i="17"/>
  <c r="K210" i="17" s="1"/>
  <c r="I214" i="18"/>
  <c r="K214" i="18" s="1"/>
  <c r="I215" i="18"/>
  <c r="K215" i="18" s="1"/>
  <c r="I247" i="16"/>
  <c r="K247" i="16" s="1"/>
  <c r="I203" i="19"/>
  <c r="K203" i="19" s="1"/>
  <c r="I248" i="16"/>
  <c r="K248" i="16" s="1"/>
  <c r="I204" i="19"/>
  <c r="K204" i="19" s="1"/>
  <c r="I249" i="16"/>
  <c r="K249" i="16" s="1"/>
  <c r="I207" i="17"/>
  <c r="K207" i="17" s="1"/>
  <c r="I208" i="20"/>
  <c r="K208" i="20" s="1"/>
  <c r="I209" i="17"/>
  <c r="K209" i="17" s="1"/>
  <c r="I201" i="19"/>
  <c r="K201" i="19" s="1"/>
  <c r="I159" i="20"/>
  <c r="K159" i="20" s="1"/>
  <c r="I161" i="20"/>
  <c r="K161" i="20" s="1"/>
  <c r="I164" i="18"/>
  <c r="K164" i="18" s="1"/>
  <c r="I162" i="20"/>
  <c r="K162" i="20" s="1"/>
  <c r="I160" i="17"/>
  <c r="K160" i="17" s="1"/>
  <c r="I161" i="17"/>
  <c r="K161" i="17" s="1"/>
  <c r="I163" i="18"/>
  <c r="K163" i="18" s="1"/>
  <c r="I195" i="16"/>
  <c r="K195" i="16" s="1"/>
  <c r="I165" i="18"/>
  <c r="K165" i="18" s="1"/>
  <c r="I166" i="18"/>
  <c r="K166" i="18" s="1"/>
  <c r="I160" i="20"/>
  <c r="K160" i="20" s="1"/>
  <c r="I157" i="19"/>
  <c r="K157" i="19" s="1"/>
  <c r="I158" i="19"/>
  <c r="K158" i="19" s="1"/>
  <c r="I158" i="17"/>
  <c r="K158" i="17" s="1"/>
  <c r="I193" i="16"/>
  <c r="K193" i="16" s="1"/>
  <c r="I159" i="17"/>
  <c r="K159" i="17" s="1"/>
  <c r="I194" i="16"/>
  <c r="K194" i="16" s="1"/>
  <c r="I160" i="19"/>
  <c r="K160" i="19" s="1"/>
  <c r="I196" i="16"/>
  <c r="K196" i="16" s="1"/>
  <c r="I148" i="20"/>
  <c r="K148" i="20" s="1"/>
  <c r="I151" i="18"/>
  <c r="K151" i="18" s="1"/>
  <c r="I151" i="20"/>
  <c r="K151" i="20" s="1"/>
  <c r="I150" i="17"/>
  <c r="K150" i="17" s="1"/>
  <c r="I148" i="18"/>
  <c r="K148" i="18" s="1"/>
  <c r="I147" i="20"/>
  <c r="K147" i="20" s="1"/>
  <c r="I149" i="20"/>
  <c r="K149" i="20" s="1"/>
  <c r="I150" i="20"/>
  <c r="K150" i="20" s="1"/>
  <c r="I147" i="18"/>
  <c r="K147" i="18" s="1"/>
  <c r="I149" i="18"/>
  <c r="K149" i="18" s="1"/>
  <c r="I150" i="18"/>
  <c r="K150" i="18" s="1"/>
  <c r="I146" i="17"/>
  <c r="K146" i="17" s="1"/>
  <c r="I179" i="16"/>
  <c r="K179" i="16" s="1"/>
  <c r="I147" i="17"/>
  <c r="K147" i="17" s="1"/>
  <c r="I148" i="17"/>
  <c r="K148" i="17" s="1"/>
  <c r="I181" i="16"/>
  <c r="K181" i="16" s="1"/>
  <c r="I178" i="16"/>
  <c r="K178" i="16" s="1"/>
  <c r="I140" i="19"/>
  <c r="K140" i="19" s="1"/>
  <c r="I149" i="17"/>
  <c r="K149" i="17" s="1"/>
  <c r="I180" i="16"/>
  <c r="K180" i="16" s="1"/>
  <c r="I141" i="19"/>
  <c r="K141" i="19" s="1"/>
  <c r="I182" i="16"/>
  <c r="K182" i="16" s="1"/>
  <c r="I142" i="19"/>
  <c r="K142" i="19" s="1"/>
  <c r="I144" i="19"/>
  <c r="K144" i="19" s="1"/>
  <c r="I140" i="20"/>
  <c r="K140" i="20" s="1"/>
  <c r="I140" i="18"/>
  <c r="K140" i="18" s="1"/>
  <c r="I139" i="20"/>
  <c r="K139" i="20" s="1"/>
  <c r="I171" i="16"/>
  <c r="K171" i="16" s="1"/>
  <c r="I141" i="20"/>
  <c r="K141" i="20" s="1"/>
  <c r="I139" i="18"/>
  <c r="K139" i="18" s="1"/>
  <c r="I138" i="17"/>
  <c r="K138" i="17" s="1"/>
  <c r="I142" i="20"/>
  <c r="K142" i="20" s="1"/>
  <c r="I141" i="18"/>
  <c r="K141" i="18" s="1"/>
  <c r="I139" i="17"/>
  <c r="K139" i="17" s="1"/>
  <c r="I173" i="16"/>
  <c r="K173" i="16" s="1"/>
  <c r="I140" i="17"/>
  <c r="K140" i="17" s="1"/>
  <c r="I141" i="17"/>
  <c r="K141" i="17" s="1"/>
  <c r="I132" i="19"/>
  <c r="K132" i="19" s="1"/>
  <c r="I142" i="18"/>
  <c r="K142" i="18" s="1"/>
  <c r="I133" i="19"/>
  <c r="K133" i="19" s="1"/>
  <c r="I170" i="16"/>
  <c r="K170" i="16" s="1"/>
  <c r="I134" i="19"/>
  <c r="K134" i="19" s="1"/>
  <c r="I172" i="16"/>
  <c r="K172" i="16" s="1"/>
  <c r="I239" i="20"/>
  <c r="K239" i="20" s="1"/>
  <c r="I241" i="20"/>
  <c r="K241" i="20" s="1"/>
  <c r="I244" i="18"/>
  <c r="K244" i="18" s="1"/>
  <c r="I240" i="17"/>
  <c r="K240" i="17" s="1"/>
  <c r="I245" i="18"/>
  <c r="K245" i="18" s="1"/>
  <c r="I242" i="17"/>
  <c r="K242" i="17" s="1"/>
  <c r="I246" i="18"/>
  <c r="K246" i="18" s="1"/>
  <c r="I243" i="17"/>
  <c r="K243" i="17" s="1"/>
  <c r="I237" i="20"/>
  <c r="K237" i="20" s="1"/>
  <c r="I247" i="18"/>
  <c r="K247" i="18" s="1"/>
  <c r="I244" i="17"/>
  <c r="K244" i="17" s="1"/>
  <c r="I238" i="20"/>
  <c r="I248" i="18"/>
  <c r="I241" i="17"/>
  <c r="K241" i="17" s="1"/>
  <c r="I279" i="16"/>
  <c r="K279" i="16" s="1"/>
  <c r="I235" i="19"/>
  <c r="K235" i="19" s="1"/>
  <c r="I280" i="16"/>
  <c r="K280" i="16" s="1"/>
  <c r="I236" i="19"/>
  <c r="K236" i="19" s="1"/>
  <c r="I281" i="16"/>
  <c r="K281" i="16" s="1"/>
  <c r="I237" i="19"/>
  <c r="K237" i="19" s="1"/>
  <c r="I282" i="16"/>
  <c r="K282" i="16" s="1"/>
  <c r="I238" i="19"/>
  <c r="K238" i="19" s="1"/>
  <c r="I283" i="16"/>
  <c r="K283" i="16" s="1"/>
  <c r="I240" i="20"/>
  <c r="K240" i="20" s="1"/>
  <c r="I75" i="20"/>
  <c r="K75" i="20" s="1"/>
  <c r="I76" i="20"/>
  <c r="K76" i="20" s="1"/>
  <c r="I79" i="18"/>
  <c r="K79" i="18" s="1"/>
  <c r="I77" i="20"/>
  <c r="K77" i="20" s="1"/>
  <c r="I78" i="20"/>
  <c r="K78" i="20" s="1"/>
  <c r="I78" i="17"/>
  <c r="K78" i="17" s="1"/>
  <c r="I76" i="18"/>
  <c r="K76" i="18" s="1"/>
  <c r="I107" i="16"/>
  <c r="K107" i="16" s="1"/>
  <c r="I77" i="18"/>
  <c r="K77" i="18" s="1"/>
  <c r="I75" i="17"/>
  <c r="K75" i="17" s="1"/>
  <c r="I75" i="19"/>
  <c r="K75" i="19" s="1"/>
  <c r="I76" i="19"/>
  <c r="K76" i="19" s="1"/>
  <c r="I74" i="14"/>
  <c r="K74" i="14" s="1"/>
  <c r="I76" i="17"/>
  <c r="K76" i="17" s="1"/>
  <c r="I105" i="16"/>
  <c r="K105" i="16" s="1"/>
  <c r="I77" i="17"/>
  <c r="K77" i="17" s="1"/>
  <c r="I106" i="16"/>
  <c r="K106" i="16" s="1"/>
  <c r="I108" i="16"/>
  <c r="K108" i="16" s="1"/>
  <c r="I78" i="18"/>
  <c r="K78" i="18" s="1"/>
  <c r="I73" i="19"/>
  <c r="K73" i="19" s="1"/>
  <c r="I19" i="20"/>
  <c r="K19" i="20" s="1"/>
  <c r="I20" i="20"/>
  <c r="K20" i="20" s="1"/>
  <c r="I18" i="18"/>
  <c r="K18" i="18" s="1"/>
  <c r="I17" i="20"/>
  <c r="K17" i="20" s="1"/>
  <c r="I20" i="18"/>
  <c r="K20" i="18" s="1"/>
  <c r="I18" i="20"/>
  <c r="K18" i="20" s="1"/>
  <c r="I32" i="16"/>
  <c r="K32" i="16" s="1"/>
  <c r="I17" i="18"/>
  <c r="K17" i="18" s="1"/>
  <c r="I19" i="18"/>
  <c r="K19" i="18" s="1"/>
  <c r="I17" i="17"/>
  <c r="K17" i="17" s="1"/>
  <c r="I18" i="17"/>
  <c r="K18" i="17" s="1"/>
  <c r="I19" i="17"/>
  <c r="I20" i="17"/>
  <c r="K20" i="17" s="1"/>
  <c r="I19" i="19"/>
  <c r="K19" i="19" s="1"/>
  <c r="I18" i="14"/>
  <c r="K18" i="14" s="1"/>
  <c r="I19" i="14"/>
  <c r="K19" i="14" s="1"/>
  <c r="I31" i="16"/>
  <c r="K31" i="16" s="1"/>
  <c r="I33" i="16"/>
  <c r="K33" i="16" s="1"/>
  <c r="I16" i="19"/>
  <c r="K16" i="19" s="1"/>
  <c r="I34" i="16"/>
  <c r="K34" i="16" s="1"/>
  <c r="I17" i="19"/>
  <c r="K17" i="19" s="1"/>
  <c r="I15" i="18"/>
  <c r="K15" i="18" s="1"/>
  <c r="I13" i="20"/>
  <c r="K13" i="20" s="1"/>
  <c r="I14" i="20"/>
  <c r="K14" i="20" s="1"/>
  <c r="I15" i="20"/>
  <c r="K15" i="20" s="1"/>
  <c r="I13" i="18"/>
  <c r="K13" i="18" s="1"/>
  <c r="I14" i="18"/>
  <c r="K14" i="18" s="1"/>
  <c r="I18" i="16"/>
  <c r="K18" i="16" s="1"/>
  <c r="I19" i="16"/>
  <c r="K19" i="16" s="1"/>
  <c r="I20" i="16"/>
  <c r="K20" i="16" s="1"/>
  <c r="I21" i="16"/>
  <c r="K21" i="16" s="1"/>
  <c r="I14" i="14"/>
  <c r="K14" i="14" s="1"/>
  <c r="I15" i="14"/>
  <c r="K15" i="14" s="1"/>
  <c r="I127" i="18"/>
  <c r="K127" i="18" s="1"/>
  <c r="I127" i="20"/>
  <c r="K127" i="20" s="1"/>
  <c r="I130" i="18"/>
  <c r="K130" i="18" s="1"/>
  <c r="I126" i="17"/>
  <c r="K126" i="17" s="1"/>
  <c r="I128" i="20"/>
  <c r="I129" i="20"/>
  <c r="I130" i="20"/>
  <c r="K130" i="20" s="1"/>
  <c r="I125" i="17"/>
  <c r="K125" i="17" s="1"/>
  <c r="I127" i="17"/>
  <c r="K127" i="17" s="1"/>
  <c r="I128" i="17"/>
  <c r="K128" i="17" s="1"/>
  <c r="I128" i="18"/>
  <c r="K128" i="18" s="1"/>
  <c r="I157" i="16"/>
  <c r="K157" i="16" s="1"/>
  <c r="I129" i="18"/>
  <c r="K129" i="18" s="1"/>
  <c r="I158" i="16"/>
  <c r="K158" i="16" s="1"/>
  <c r="I159" i="16"/>
  <c r="K159" i="16" s="1"/>
  <c r="I160" i="16"/>
  <c r="K160" i="16" s="1"/>
  <c r="I120" i="19"/>
  <c r="K120" i="19" s="1"/>
  <c r="I121" i="19"/>
  <c r="K121" i="19" s="1"/>
  <c r="I258" i="14"/>
  <c r="K258" i="14" s="1"/>
  <c r="I250" i="14"/>
  <c r="K250" i="14" s="1"/>
  <c r="I242" i="14"/>
  <c r="K242" i="14" s="1"/>
  <c r="I234" i="14"/>
  <c r="K234" i="14" s="1"/>
  <c r="I226" i="14"/>
  <c r="K226" i="14" s="1"/>
  <c r="I218" i="14"/>
  <c r="K218" i="14" s="1"/>
  <c r="I210" i="14"/>
  <c r="K210" i="14" s="1"/>
  <c r="I202" i="14"/>
  <c r="K202" i="14" s="1"/>
  <c r="I194" i="14"/>
  <c r="K194" i="14" s="1"/>
  <c r="I186" i="14"/>
  <c r="K186" i="14" s="1"/>
  <c r="I178" i="14"/>
  <c r="K178" i="14" s="1"/>
  <c r="I170" i="14"/>
  <c r="K170" i="14" s="1"/>
  <c r="I162" i="14"/>
  <c r="K162" i="14" s="1"/>
  <c r="I154" i="14"/>
  <c r="K154" i="14" s="1"/>
  <c r="I146" i="14"/>
  <c r="K146" i="14" s="1"/>
  <c r="I138" i="14"/>
  <c r="K138" i="14" s="1"/>
  <c r="I130" i="14"/>
  <c r="K130" i="14" s="1"/>
  <c r="I122" i="14"/>
  <c r="K122" i="14" s="1"/>
  <c r="I114" i="14"/>
  <c r="K114" i="14" s="1"/>
  <c r="I106" i="14"/>
  <c r="K106" i="14" s="1"/>
  <c r="I98" i="14"/>
  <c r="K98" i="14" s="1"/>
  <c r="I90" i="14"/>
  <c r="K90" i="14" s="1"/>
  <c r="I81" i="14"/>
  <c r="K81" i="14" s="1"/>
  <c r="I72" i="14"/>
  <c r="K72" i="14" s="1"/>
  <c r="I63" i="14"/>
  <c r="K63" i="14" s="1"/>
  <c r="I54" i="14"/>
  <c r="K54" i="14" s="1"/>
  <c r="I45" i="14"/>
  <c r="K45" i="14" s="1"/>
  <c r="I36" i="14"/>
  <c r="K36" i="14" s="1"/>
  <c r="I24" i="14"/>
  <c r="K24" i="14" s="1"/>
  <c r="I8" i="14"/>
  <c r="K8" i="14" s="1"/>
  <c r="I247" i="19"/>
  <c r="K247" i="19" s="1"/>
  <c r="I215" i="19"/>
  <c r="K215" i="19" s="1"/>
  <c r="I183" i="19"/>
  <c r="K183" i="19" s="1"/>
  <c r="I151" i="19"/>
  <c r="K151" i="19" s="1"/>
  <c r="I119" i="19"/>
  <c r="K119" i="19" s="1"/>
  <c r="I58" i="19"/>
  <c r="K58" i="19" s="1"/>
  <c r="I302" i="16"/>
  <c r="K302" i="16" s="1"/>
  <c r="I238" i="16"/>
  <c r="K238" i="16" s="1"/>
  <c r="I166" i="16"/>
  <c r="K166" i="16" s="1"/>
  <c r="I79" i="16"/>
  <c r="K79" i="16" s="1"/>
  <c r="I198" i="17"/>
  <c r="K198" i="17" s="1"/>
  <c r="I256" i="20"/>
  <c r="K256" i="20" s="1"/>
  <c r="K240" i="18"/>
  <c r="K145" i="18"/>
  <c r="K300" i="16"/>
  <c r="K50" i="14"/>
  <c r="K97" i="14"/>
  <c r="K33" i="14"/>
  <c r="K104" i="14"/>
  <c r="K254" i="14"/>
  <c r="K198" i="14"/>
  <c r="K62" i="14"/>
  <c r="K253" i="14"/>
  <c r="K117" i="14"/>
  <c r="K93" i="14"/>
  <c r="K29" i="14"/>
  <c r="K188" i="14"/>
  <c r="K124" i="14"/>
  <c r="K116" i="14"/>
  <c r="K108" i="14"/>
  <c r="K60" i="14"/>
  <c r="K147" i="14"/>
  <c r="K139" i="14"/>
  <c r="K255" i="14"/>
  <c r="K74" i="19"/>
  <c r="K246" i="14"/>
  <c r="K11" i="19"/>
  <c r="K67" i="14"/>
  <c r="K258" i="19"/>
  <c r="K242" i="19"/>
  <c r="K259" i="19"/>
  <c r="K145" i="14"/>
  <c r="K78" i="14"/>
  <c r="K13" i="14"/>
  <c r="K227" i="19"/>
  <c r="K238" i="17"/>
  <c r="K26" i="17"/>
  <c r="K122" i="19"/>
  <c r="K159" i="19"/>
  <c r="K85" i="18"/>
  <c r="K169" i="16"/>
  <c r="K249" i="14"/>
  <c r="K112" i="14"/>
  <c r="K86" i="14"/>
  <c r="K38" i="14"/>
  <c r="K10" i="14"/>
  <c r="K247" i="14"/>
  <c r="K140" i="14"/>
  <c r="K37" i="14"/>
  <c r="K243" i="14"/>
  <c r="K245" i="14"/>
  <c r="K72" i="17"/>
  <c r="K71" i="14"/>
  <c r="K63" i="16"/>
  <c r="K39" i="19"/>
  <c r="K30" i="20"/>
  <c r="K31" i="20"/>
  <c r="K294" i="16"/>
  <c r="K207" i="19"/>
  <c r="K180" i="18"/>
  <c r="K175" i="20"/>
  <c r="K174" i="14"/>
  <c r="K121" i="17"/>
  <c r="K97" i="20"/>
  <c r="K97" i="17"/>
  <c r="K95" i="14"/>
  <c r="K108" i="17"/>
  <c r="K48" i="14"/>
  <c r="K205" i="18"/>
  <c r="K197" i="17"/>
  <c r="K201" i="17"/>
  <c r="K186" i="17"/>
  <c r="K132" i="17"/>
  <c r="K127" i="19"/>
  <c r="K133" i="14"/>
  <c r="K53" i="18"/>
  <c r="K180" i="14"/>
  <c r="K110" i="14"/>
  <c r="K99" i="20"/>
  <c r="K210" i="19"/>
  <c r="K156" i="18"/>
  <c r="K155" i="18"/>
  <c r="K188" i="16"/>
  <c r="K152" i="19"/>
  <c r="K158" i="18"/>
  <c r="K146" i="16"/>
  <c r="K65" i="17"/>
  <c r="K56" i="14"/>
  <c r="K212" i="20"/>
  <c r="K101" i="14"/>
  <c r="K259" i="14"/>
  <c r="K92" i="18"/>
  <c r="K89" i="20"/>
  <c r="K90" i="17"/>
  <c r="K89" i="14"/>
  <c r="K263" i="14"/>
  <c r="K214" i="16"/>
  <c r="K54" i="16"/>
  <c r="K32" i="17"/>
  <c r="K31" i="19"/>
  <c r="K198" i="16"/>
  <c r="K104" i="16"/>
  <c r="K44" i="20"/>
  <c r="K45" i="20"/>
  <c r="K42" i="19"/>
  <c r="K16" i="14"/>
  <c r="K7" i="19"/>
  <c r="K3" i="17"/>
  <c r="K2" i="16"/>
  <c r="K81" i="18"/>
  <c r="K17" i="14"/>
  <c r="K78" i="19"/>
  <c r="K105" i="14"/>
  <c r="K79" i="17"/>
  <c r="K21" i="17"/>
  <c r="K5" i="14"/>
  <c r="K95" i="18"/>
  <c r="K60" i="20"/>
  <c r="K59" i="17"/>
  <c r="K4" i="16"/>
  <c r="K5" i="16"/>
  <c r="K196" i="14"/>
  <c r="K4" i="14"/>
  <c r="K157" i="17"/>
  <c r="K19" i="17"/>
  <c r="K130" i="19"/>
  <c r="K166" i="17"/>
  <c r="K167" i="17"/>
  <c r="K152" i="20"/>
  <c r="K151" i="14"/>
  <c r="K223" i="19"/>
  <c r="K83" i="18"/>
  <c r="K47" i="14"/>
  <c r="K62" i="20"/>
  <c r="K128" i="14"/>
  <c r="K128" i="20"/>
  <c r="K129" i="20"/>
  <c r="K248" i="19"/>
  <c r="K204" i="16"/>
  <c r="K219" i="17"/>
  <c r="K221" i="17"/>
  <c r="K224" i="18"/>
  <c r="K210" i="20"/>
  <c r="K209" i="14"/>
  <c r="K246" i="16"/>
  <c r="K18" i="19"/>
  <c r="K238" i="20"/>
  <c r="K248" i="18"/>
  <c r="K236" i="14"/>
  <c r="K2" i="14"/>
  <c r="K191" i="14"/>
  <c r="K164" i="14"/>
  <c r="K231" i="19"/>
  <c r="K214" i="14"/>
  <c r="K141" i="14"/>
  <c r="K120" i="14"/>
  <c r="K249" i="19"/>
  <c r="K13" i="16"/>
  <c r="K11" i="18"/>
  <c r="K246" i="20"/>
  <c r="K40" i="16"/>
  <c r="K206" i="16"/>
  <c r="K245" i="16"/>
</calcChain>
</file>

<file path=xl/sharedStrings.xml><?xml version="1.0" encoding="utf-8"?>
<sst xmlns="http://schemas.openxmlformats.org/spreadsheetml/2006/main" count="10509" uniqueCount="776">
  <si>
    <t>OP_A020060</t>
  </si>
  <si>
    <t>OP_A020080</t>
  </si>
  <si>
    <t>OP_A020080_A</t>
  </si>
  <si>
    <t>OP_A020140</t>
  </si>
  <si>
    <t>OP_A020190</t>
  </si>
  <si>
    <t>OP_A020160</t>
  </si>
  <si>
    <t>OP_A020300</t>
  </si>
  <si>
    <t>OP_A020330</t>
  </si>
  <si>
    <t>OP_A020350</t>
  </si>
  <si>
    <t>OP_A020390</t>
  </si>
  <si>
    <t>OP_A020530</t>
  </si>
  <si>
    <t>OP_A020500</t>
  </si>
  <si>
    <t>OP_A020480</t>
  </si>
  <si>
    <t>OP_A020420</t>
  </si>
  <si>
    <t>OP_A020450</t>
  </si>
  <si>
    <t>OP_A020570</t>
  </si>
  <si>
    <t>OP_A020590</t>
  </si>
  <si>
    <t>OP_A020610</t>
  </si>
  <si>
    <t>OP_A020770</t>
  </si>
  <si>
    <t>OP_A020820</t>
  </si>
  <si>
    <t>OP_A020630</t>
  </si>
  <si>
    <t>OP_A020650</t>
  </si>
  <si>
    <t>OP_A020690</t>
  </si>
  <si>
    <t>OP_A020710</t>
  </si>
  <si>
    <t>OP_A020840</t>
  </si>
  <si>
    <t>OP_A020860</t>
  </si>
  <si>
    <t>OP_A020880</t>
  </si>
  <si>
    <t>OP_A020900</t>
  </si>
  <si>
    <t>OP_A020920</t>
  </si>
  <si>
    <t>OP_A020960</t>
  </si>
  <si>
    <t>OP_A021230</t>
  </si>
  <si>
    <t>OP_A022230</t>
  </si>
  <si>
    <t>OP_A021050</t>
  </si>
  <si>
    <t>OP_A021070</t>
  </si>
  <si>
    <t>OP_A021110</t>
  </si>
  <si>
    <t>OP_A021140</t>
  </si>
  <si>
    <t>OP_A021210</t>
  </si>
  <si>
    <t>OP_A021170</t>
  </si>
  <si>
    <t>OP_A021250</t>
  </si>
  <si>
    <t>OP_A022140</t>
  </si>
  <si>
    <t>OP_A022120</t>
  </si>
  <si>
    <t>OP_A022180</t>
  </si>
  <si>
    <t>OP_A022210</t>
  </si>
  <si>
    <t>OP_A022240</t>
  </si>
  <si>
    <t>OP_A022270</t>
  </si>
  <si>
    <t>OP_A022290</t>
  </si>
  <si>
    <t>OP_A022320</t>
  </si>
  <si>
    <t>OP_A022370</t>
  </si>
  <si>
    <t>OP_A022390</t>
  </si>
  <si>
    <t>OP_A022420</t>
  </si>
  <si>
    <t>OP_A022440</t>
  </si>
  <si>
    <t>OP_A022460</t>
  </si>
  <si>
    <t>OP_A022490</t>
  </si>
  <si>
    <t>OP_A022540</t>
  </si>
  <si>
    <t>OP_A022700</t>
  </si>
  <si>
    <t>OP_A022740</t>
  </si>
  <si>
    <t>OP_A022760</t>
  </si>
  <si>
    <t>OP_A021030</t>
  </si>
  <si>
    <t>OP_A021190</t>
  </si>
  <si>
    <t>İstasyon adres</t>
  </si>
  <si>
    <t>Operasyon No</t>
  </si>
  <si>
    <t>SÜRE (SN)</t>
  </si>
  <si>
    <t>OP_A020060_1</t>
  </si>
  <si>
    <t>OP_A020060_2</t>
  </si>
  <si>
    <t>OP_A020080_1</t>
  </si>
  <si>
    <t>OP_A020080_2</t>
  </si>
  <si>
    <t>OP_A020140_1</t>
  </si>
  <si>
    <t>OP_A020140_2</t>
  </si>
  <si>
    <t>OP_A020160_1</t>
  </si>
  <si>
    <t>OP_A020160_2</t>
  </si>
  <si>
    <t>OP_A020160_3</t>
  </si>
  <si>
    <t>OP_A020190_2</t>
  </si>
  <si>
    <t>OP_A020190_3</t>
  </si>
  <si>
    <t>OP_A020300_1</t>
  </si>
  <si>
    <t>OP_A020300_2</t>
  </si>
  <si>
    <t>OP_A020300_3</t>
  </si>
  <si>
    <t>OP_A020300_4</t>
  </si>
  <si>
    <t>OP_A020330_1</t>
  </si>
  <si>
    <t>OP_A020330_2</t>
  </si>
  <si>
    <t>OP_A020350_4</t>
  </si>
  <si>
    <t>OP_A020350_5</t>
  </si>
  <si>
    <t>OP_A020350_7</t>
  </si>
  <si>
    <t>OP_A020350_10</t>
  </si>
  <si>
    <t>OP_A020390_1</t>
  </si>
  <si>
    <t>OP_A020390_2</t>
  </si>
  <si>
    <t>OP_A020390_3</t>
  </si>
  <si>
    <t>OP_A020420_1</t>
  </si>
  <si>
    <t>OP_A020450_1</t>
  </si>
  <si>
    <t>OP_A020450_2</t>
  </si>
  <si>
    <t>OP_A020480_1</t>
  </si>
  <si>
    <t>OP_A020480_2</t>
  </si>
  <si>
    <t>OP_A020480_3</t>
  </si>
  <si>
    <t>OP_A020500_1</t>
  </si>
  <si>
    <t>OP_A020500_2</t>
  </si>
  <si>
    <t>OP_A020500_3</t>
  </si>
  <si>
    <t>OP_A020500_4</t>
  </si>
  <si>
    <t>OP_A020530_1</t>
  </si>
  <si>
    <t>OP_A020530_2</t>
  </si>
  <si>
    <t>OP_A020530_3</t>
  </si>
  <si>
    <t>OP_A020570_1</t>
  </si>
  <si>
    <t>OP_A020570_2</t>
  </si>
  <si>
    <t>OP_A020570_3</t>
  </si>
  <si>
    <t>OP_A020590_1</t>
  </si>
  <si>
    <t>OP_A020590_2</t>
  </si>
  <si>
    <t>OP_A020590_3</t>
  </si>
  <si>
    <t>OP_A020590_4</t>
  </si>
  <si>
    <t>OP_A020590_5</t>
  </si>
  <si>
    <t>OP_A020590_6</t>
  </si>
  <si>
    <t>OP_A020610_1</t>
  </si>
  <si>
    <t>OP_A020610_2</t>
  </si>
  <si>
    <t>OP_A020610_3</t>
  </si>
  <si>
    <t>OP_A020610_4</t>
  </si>
  <si>
    <t>OP_A020630_1</t>
  </si>
  <si>
    <t>OP_A020630_2</t>
  </si>
  <si>
    <t>OP_A020630_3</t>
  </si>
  <si>
    <t>OP_A020630_4</t>
  </si>
  <si>
    <t>OP_A020630_5</t>
  </si>
  <si>
    <t>OP_A020630_6</t>
  </si>
  <si>
    <t>OP_A020650_1</t>
  </si>
  <si>
    <t>OP_A020650_6</t>
  </si>
  <si>
    <t>OP_A020650_7</t>
  </si>
  <si>
    <t>OP_A020690_1</t>
  </si>
  <si>
    <t>OP_A020690_2</t>
  </si>
  <si>
    <t>OP_A020690_3</t>
  </si>
  <si>
    <t>OP_A020690_4</t>
  </si>
  <si>
    <t>OP_A020710_1</t>
  </si>
  <si>
    <t>OP_A020710_2</t>
  </si>
  <si>
    <t>OP_A020710_3</t>
  </si>
  <si>
    <t>OP_A020710_4</t>
  </si>
  <si>
    <t>OP_A020710_5</t>
  </si>
  <si>
    <t>OP_A020710_6</t>
  </si>
  <si>
    <t>OP_A020770_1</t>
  </si>
  <si>
    <t>OP_A020770_2</t>
  </si>
  <si>
    <t>OP_A020770_3</t>
  </si>
  <si>
    <t>OP_A020770_4</t>
  </si>
  <si>
    <t>OP_A020820_1</t>
  </si>
  <si>
    <t>OP_A020820_2</t>
  </si>
  <si>
    <t>OP_A020820_3</t>
  </si>
  <si>
    <t>OP_A020840_1</t>
  </si>
  <si>
    <t>OP_A020840_2</t>
  </si>
  <si>
    <t>OP_A020840_3</t>
  </si>
  <si>
    <t>OP_A020840_4</t>
  </si>
  <si>
    <t>OP_A020860_1</t>
  </si>
  <si>
    <t>OP_A020860_2</t>
  </si>
  <si>
    <t>OP_A020860_3</t>
  </si>
  <si>
    <t>OP_A020860_5</t>
  </si>
  <si>
    <t>OP_A020880_1</t>
  </si>
  <si>
    <t>OP_A020880_2</t>
  </si>
  <si>
    <t>OP_A020880_3</t>
  </si>
  <si>
    <t>OP_A020880_4</t>
  </si>
  <si>
    <t>OP_A020900_1</t>
  </si>
  <si>
    <t>OP_A020900_2</t>
  </si>
  <si>
    <t>OP_A020920_1</t>
  </si>
  <si>
    <t>OP_A020920_2</t>
  </si>
  <si>
    <t>OP_A020920_3</t>
  </si>
  <si>
    <t>OP_A020920_4</t>
  </si>
  <si>
    <t>OP_A020960_1</t>
  </si>
  <si>
    <t>OP_A020960_2</t>
  </si>
  <si>
    <t>OP_A020960_4</t>
  </si>
  <si>
    <t>OP_A021030_1</t>
  </si>
  <si>
    <t>OP_A021030_2</t>
  </si>
  <si>
    <t>OP_A021030_3</t>
  </si>
  <si>
    <t>OP_A021030_4</t>
  </si>
  <si>
    <t>OP_A021050_1</t>
  </si>
  <si>
    <t>OP_A021050_2</t>
  </si>
  <si>
    <t>OP_A021050_3</t>
  </si>
  <si>
    <t>OP_A021050_4</t>
  </si>
  <si>
    <t>OP_A021050_5</t>
  </si>
  <si>
    <t>OP_A021070_1</t>
  </si>
  <si>
    <t>OP_A021070_2</t>
  </si>
  <si>
    <t>OP_A021070_3</t>
  </si>
  <si>
    <t>OP_A021110_1</t>
  </si>
  <si>
    <t>OP_A021110_2</t>
  </si>
  <si>
    <t>OP_A021110_3</t>
  </si>
  <si>
    <t>OP_A021110_4</t>
  </si>
  <si>
    <t>OP_A021110_5</t>
  </si>
  <si>
    <t>OP_A021140_1</t>
  </si>
  <si>
    <t>OP_A021140_2</t>
  </si>
  <si>
    <t>OP_A021140_3</t>
  </si>
  <si>
    <t>OP_A021140_4</t>
  </si>
  <si>
    <t>OP_A021140_5</t>
  </si>
  <si>
    <t>OP_A021170_1</t>
  </si>
  <si>
    <t>OP_A021170_2</t>
  </si>
  <si>
    <t>OP_A021170_3</t>
  </si>
  <si>
    <t>OP_A021170_4</t>
  </si>
  <si>
    <t>OP_A021170_5</t>
  </si>
  <si>
    <t>OP_A021170_6</t>
  </si>
  <si>
    <t>OP_A021190_1</t>
  </si>
  <si>
    <t>OP_A021190_2</t>
  </si>
  <si>
    <t>OP_A021190_3</t>
  </si>
  <si>
    <t>OP_A021210_1</t>
  </si>
  <si>
    <t>OP_A021210_2</t>
  </si>
  <si>
    <t>OP_A021210_5</t>
  </si>
  <si>
    <t>OP_A021210_6</t>
  </si>
  <si>
    <t>OP_A021230_1</t>
  </si>
  <si>
    <t>OP_A021230_2</t>
  </si>
  <si>
    <t>OP_A021230_3</t>
  </si>
  <si>
    <t>OP_A021230_5</t>
  </si>
  <si>
    <t>OP_A021250_1</t>
  </si>
  <si>
    <t>OP_A021250_2</t>
  </si>
  <si>
    <t>OP_A021250_3</t>
  </si>
  <si>
    <t>OP_A021250_4</t>
  </si>
  <si>
    <t>OP_A021250_5</t>
  </si>
  <si>
    <t>OP_A022120_1</t>
  </si>
  <si>
    <t>OP_A022120_2</t>
  </si>
  <si>
    <t>OP_A022120_3</t>
  </si>
  <si>
    <t>OP_A022140_1</t>
  </si>
  <si>
    <t>OP_A022140_2</t>
  </si>
  <si>
    <t>OP_A022140_3</t>
  </si>
  <si>
    <t>OP_A022140_4</t>
  </si>
  <si>
    <t>OP_A022140_5</t>
  </si>
  <si>
    <t>OP_A022180_1</t>
  </si>
  <si>
    <t>OP_A022180_2</t>
  </si>
  <si>
    <t>OP_A022180_3</t>
  </si>
  <si>
    <t>OP_A022180_4</t>
  </si>
  <si>
    <t>OP_A022210_1</t>
  </si>
  <si>
    <t>OP_A022210_2</t>
  </si>
  <si>
    <t>OP_A022210_3</t>
  </si>
  <si>
    <t>OP_A022210_4</t>
  </si>
  <si>
    <t>OP_A022240_1</t>
  </si>
  <si>
    <t>OP_A022240_2</t>
  </si>
  <si>
    <t>OP_A022240_3</t>
  </si>
  <si>
    <t>OP_A022230_1</t>
  </si>
  <si>
    <t>OP_A022230_2</t>
  </si>
  <si>
    <t>OP_A022230_3</t>
  </si>
  <si>
    <t>OP_A022270_1</t>
  </si>
  <si>
    <t>OP_A022270_2</t>
  </si>
  <si>
    <t>OP_A022270_3</t>
  </si>
  <si>
    <t>OP_A022290_1</t>
  </si>
  <si>
    <t>OP_A022290_2</t>
  </si>
  <si>
    <t>OP_A022290_3</t>
  </si>
  <si>
    <t>OP_A022290_4</t>
  </si>
  <si>
    <t>OP_A022320_1</t>
  </si>
  <si>
    <t>OP_A022320_2</t>
  </si>
  <si>
    <t>OP_A022320_3</t>
  </si>
  <si>
    <t>OP_A022320_4</t>
  </si>
  <si>
    <t>OP_A022320_5</t>
  </si>
  <si>
    <t>OP_A022320_6</t>
  </si>
  <si>
    <t>OP_A022370_1</t>
  </si>
  <si>
    <t>OP_A022370_2</t>
  </si>
  <si>
    <t>OP_A022370_3</t>
  </si>
  <si>
    <t>OP_A022370_4</t>
  </si>
  <si>
    <t>OP_A022370_5</t>
  </si>
  <si>
    <t>OP_A022420_1</t>
  </si>
  <si>
    <t>OP_A022420_2</t>
  </si>
  <si>
    <t>OP_A022420_3</t>
  </si>
  <si>
    <t>OP_A022420_4</t>
  </si>
  <si>
    <t>OP_A022440_1</t>
  </si>
  <si>
    <t>OP_A022440_2</t>
  </si>
  <si>
    <t>OP_A022440_3</t>
  </si>
  <si>
    <t>OP_A022440_4</t>
  </si>
  <si>
    <t>OP_A022460_1</t>
  </si>
  <si>
    <t>OP_A022460_2</t>
  </si>
  <si>
    <t>OP_A022460_3</t>
  </si>
  <si>
    <t>OP_A022490_1</t>
  </si>
  <si>
    <t>OP_A022490_2</t>
  </si>
  <si>
    <t>OP_A022490_3</t>
  </si>
  <si>
    <t>OP_A022540_1</t>
  </si>
  <si>
    <t>OP_A022540_2</t>
  </si>
  <si>
    <t>OP_A022540_3</t>
  </si>
  <si>
    <t>OP_A022540_4</t>
  </si>
  <si>
    <t>OP_A022540_5</t>
  </si>
  <si>
    <t>OP_A022540_6</t>
  </si>
  <si>
    <t>OP_A022540_7</t>
  </si>
  <si>
    <t>OP_A022540_8</t>
  </si>
  <si>
    <t>OP_A022700_1</t>
  </si>
  <si>
    <t>OP_A022700_2</t>
  </si>
  <si>
    <t>OP_A022700_3</t>
  </si>
  <si>
    <t>OP_A022700_4</t>
  </si>
  <si>
    <t>OP_A022740_1</t>
  </si>
  <si>
    <t>OP_A022740_2</t>
  </si>
  <si>
    <t>OP_A022740_3</t>
  </si>
  <si>
    <t>OP_A022740_4</t>
  </si>
  <si>
    <t>OP_A022740_5</t>
  </si>
  <si>
    <t>OP_A022740_6</t>
  </si>
  <si>
    <t>OP_A022740_7</t>
  </si>
  <si>
    <t>OP_A022740_8</t>
  </si>
  <si>
    <t>OP_A022760_1</t>
  </si>
  <si>
    <t>OP_A022760_2</t>
  </si>
  <si>
    <t>OP_A022760_3</t>
  </si>
  <si>
    <t>İstasyon Bilgisi Operatör 2</t>
  </si>
  <si>
    <t>İstasyon Bilgisi Operatör 3</t>
  </si>
  <si>
    <t>İstasyon Bilgisi Operatör 4</t>
  </si>
  <si>
    <t>İstasyon Bilgisi Operatör 5</t>
  </si>
  <si>
    <t>OP_A021070_A</t>
  </si>
  <si>
    <t>OP_A022270_A</t>
  </si>
  <si>
    <t>OP_A020080_A_1</t>
  </si>
  <si>
    <t>OP_A020080_A_2</t>
  </si>
  <si>
    <t>OP_A020080_A_3</t>
  </si>
  <si>
    <t>OP_A020190_A</t>
  </si>
  <si>
    <t>OP_A020190_A_3</t>
  </si>
  <si>
    <t>OP_A020330_A</t>
  </si>
  <si>
    <t>OP_A020330_A_1</t>
  </si>
  <si>
    <t>OP_A020330_A_2</t>
  </si>
  <si>
    <t>OP_A021070_A_1</t>
  </si>
  <si>
    <t>OP_A021070_A_2</t>
  </si>
  <si>
    <t>OP_A021070_A_3</t>
  </si>
  <si>
    <t>OP_A022270_A_1</t>
  </si>
  <si>
    <t>OP_A022270_A_2</t>
  </si>
  <si>
    <t>OP_A022270_A_3</t>
  </si>
  <si>
    <t>OP_A022270_A_4</t>
  </si>
  <si>
    <t>OP_A022270_A_5</t>
  </si>
  <si>
    <t>OP_A020190_A_1</t>
  </si>
  <si>
    <t>OP_A020190_A_2</t>
  </si>
  <si>
    <t>OP_A022390_6</t>
  </si>
  <si>
    <t>OP_A022390_7</t>
  </si>
  <si>
    <t>OP_A022390_4</t>
  </si>
  <si>
    <t>OP_A022390_1</t>
  </si>
  <si>
    <t>OP_A022390_2</t>
  </si>
  <si>
    <t>OP_A022390_9</t>
  </si>
  <si>
    <t>OP_A021460</t>
  </si>
  <si>
    <t>OP_A021610</t>
  </si>
  <si>
    <t xml:space="preserve">İstasyon Bilgisi 
Operatör 1 </t>
  </si>
  <si>
    <t>İstasyon Bilgisi 
Operatör 2</t>
  </si>
  <si>
    <t>İstasyon Bilgisi 
Operatör 3</t>
  </si>
  <si>
    <t>İstasyon Bilgisi 
Operatör 4</t>
  </si>
  <si>
    <t>İstasyon Bilgisi 
Operatör 5</t>
  </si>
  <si>
    <t>Operatör</t>
  </si>
  <si>
    <t>Çarpan</t>
  </si>
  <si>
    <t>OP_A020040</t>
  </si>
  <si>
    <t>OP_A020040_1</t>
  </si>
  <si>
    <t>OP_A020040_2</t>
  </si>
  <si>
    <t>OP_A020040_3</t>
  </si>
  <si>
    <t>OP_A020040_4</t>
  </si>
  <si>
    <t>OP_A020040_5</t>
  </si>
  <si>
    <t>OP_A020040_6</t>
  </si>
  <si>
    <t>OP_A020040_7</t>
  </si>
  <si>
    <t>OP_A020160_4</t>
  </si>
  <si>
    <t>OP_A020190_1</t>
  </si>
  <si>
    <t>OP_A020220</t>
  </si>
  <si>
    <t>OP_A020220_1</t>
  </si>
  <si>
    <t>OP_A020220_2</t>
  </si>
  <si>
    <t>OP_A020220_3</t>
  </si>
  <si>
    <t>OP_A020220_4</t>
  </si>
  <si>
    <t>OP_A020330_3</t>
  </si>
  <si>
    <t>OP_A020330_4</t>
  </si>
  <si>
    <t>OP_A020350_1</t>
  </si>
  <si>
    <t>OP_A020350_2</t>
  </si>
  <si>
    <t>OP_A020350_3</t>
  </si>
  <si>
    <t>OP_A020350_6</t>
  </si>
  <si>
    <t>OP_A020350_8</t>
  </si>
  <si>
    <t>OP_A020350_9</t>
  </si>
  <si>
    <t>OP_A020370</t>
  </si>
  <si>
    <t>OP_A020370_1</t>
  </si>
  <si>
    <t>OP_A020370_2</t>
  </si>
  <si>
    <t>OP_A020370_3</t>
  </si>
  <si>
    <t>OP_A020370_4</t>
  </si>
  <si>
    <t>OP_A020370_5</t>
  </si>
  <si>
    <t>OP_A020530_4</t>
  </si>
  <si>
    <t>OP_A020530_5</t>
  </si>
  <si>
    <t>OP_A020530_6</t>
  </si>
  <si>
    <t>OP_A020590_7</t>
  </si>
  <si>
    <t>OP_A020630_7</t>
  </si>
  <si>
    <t>OP_A020650_2</t>
  </si>
  <si>
    <t>OP_A020650_3</t>
  </si>
  <si>
    <t>OP_A020650_4</t>
  </si>
  <si>
    <t>OP_A020650_5</t>
  </si>
  <si>
    <t>OP_A020650_8</t>
  </si>
  <si>
    <t>OP_A020650_9</t>
  </si>
  <si>
    <t>OP_A020650_10</t>
  </si>
  <si>
    <t>OP_A020690_5</t>
  </si>
  <si>
    <t>OP_A020690_6</t>
  </si>
  <si>
    <t>OP_A020820_4</t>
  </si>
  <si>
    <t>OP_A020800</t>
  </si>
  <si>
    <t>OP_A020800_1</t>
  </si>
  <si>
    <t>OP_A020800_2</t>
  </si>
  <si>
    <t>OP_A020800_3</t>
  </si>
  <si>
    <t>OP_A020800_4</t>
  </si>
  <si>
    <t>OP_A020800_5</t>
  </si>
  <si>
    <t>OP_A020840_5</t>
  </si>
  <si>
    <t>OP_A020840_6</t>
  </si>
  <si>
    <t>OP_A020840_7</t>
  </si>
  <si>
    <t>OP_A020860_4</t>
  </si>
  <si>
    <t>OP_A020880_5</t>
  </si>
  <si>
    <t>OP_A020880_6</t>
  </si>
  <si>
    <t>OP_A020960_3</t>
  </si>
  <si>
    <t>OP_A021030_5</t>
  </si>
  <si>
    <t>OP_A021020</t>
  </si>
  <si>
    <t>OP_A021020_1</t>
  </si>
  <si>
    <t>OP_A021020_2</t>
  </si>
  <si>
    <t>OP_A021070_4</t>
  </si>
  <si>
    <t>OP_A021070_5</t>
  </si>
  <si>
    <t>ÜSYB</t>
  </si>
  <si>
    <t>DKYB</t>
  </si>
  <si>
    <t>OP_A021190_4</t>
  </si>
  <si>
    <t>OP_A021190_5</t>
  </si>
  <si>
    <t>OP_A021190_6</t>
  </si>
  <si>
    <t>OP_A021210_3</t>
  </si>
  <si>
    <t>OP_A021210_4</t>
  </si>
  <si>
    <t>OP_A021230_4</t>
  </si>
  <si>
    <t>OP_A021250_6</t>
  </si>
  <si>
    <t>OP_A021310</t>
  </si>
  <si>
    <t>OP_A021310_1</t>
  </si>
  <si>
    <t>OP_A022120_4</t>
  </si>
  <si>
    <t>OP_A022120_5</t>
  </si>
  <si>
    <t>OP_A022140_6</t>
  </si>
  <si>
    <t>SCYB</t>
  </si>
  <si>
    <t>OP_A022240_4</t>
  </si>
  <si>
    <t>OP_A022320_7</t>
  </si>
  <si>
    <t>OP_A022320_8</t>
  </si>
  <si>
    <t>OP_A022370_6</t>
  </si>
  <si>
    <t>OP_A022370_7</t>
  </si>
  <si>
    <t>OP_A022370_8</t>
  </si>
  <si>
    <t>ASYB</t>
  </si>
  <si>
    <t>OP_A022390_3</t>
  </si>
  <si>
    <t>OP_A022390_5</t>
  </si>
  <si>
    <t>OP_A022390_8</t>
  </si>
  <si>
    <t>OP_A022420_5</t>
  </si>
  <si>
    <t>OP_A022420_6</t>
  </si>
  <si>
    <t>OP_A022420_7</t>
  </si>
  <si>
    <t>OP_A022440_5</t>
  </si>
  <si>
    <t>OP_A022440_6</t>
  </si>
  <si>
    <t>OP_A022440_7</t>
  </si>
  <si>
    <t>OP_A022460_4</t>
  </si>
  <si>
    <t>OP_A022460_5</t>
  </si>
  <si>
    <t>OP_A022510</t>
  </si>
  <si>
    <t>OP_A022510_1</t>
  </si>
  <si>
    <t>OP_A022510_2</t>
  </si>
  <si>
    <t>OP_A022700_5</t>
  </si>
  <si>
    <t>OP_A022740_9</t>
  </si>
  <si>
    <t>OP_A022740_10</t>
  </si>
  <si>
    <t>OP_A022740_11</t>
  </si>
  <si>
    <t>OP_A022740_12</t>
  </si>
  <si>
    <t>OP_A022740_13</t>
  </si>
  <si>
    <t>OP_A022740_14</t>
  </si>
  <si>
    <t>OP_A022740_15</t>
  </si>
  <si>
    <t>OP_A022740_16</t>
  </si>
  <si>
    <t>OP_A022740_17</t>
  </si>
  <si>
    <t>OP_A022760_4</t>
  </si>
  <si>
    <t>OP_A022760_5</t>
  </si>
  <si>
    <t>OP_A022760_6</t>
  </si>
  <si>
    <t>OP_A022760_7</t>
  </si>
  <si>
    <t>İKYB</t>
  </si>
  <si>
    <t>İKYB2</t>
  </si>
  <si>
    <t>İKYB3</t>
  </si>
  <si>
    <t>İKYB4</t>
  </si>
  <si>
    <t>SMYB</t>
  </si>
  <si>
    <t>SMHYB</t>
  </si>
  <si>
    <t>OP_A020210</t>
  </si>
  <si>
    <t>OP_A020210_1</t>
  </si>
  <si>
    <t>OP_A020210_2</t>
  </si>
  <si>
    <t>OP_A020210_3</t>
  </si>
  <si>
    <t>OP_A020210_4</t>
  </si>
  <si>
    <t>OP_A020210_5</t>
  </si>
  <si>
    <t>OP_A020210_6</t>
  </si>
  <si>
    <t>OP_A020210_7</t>
  </si>
  <si>
    <t>OP_A020210_8</t>
  </si>
  <si>
    <t>OP_A020210_9</t>
  </si>
  <si>
    <t>OP_A020100</t>
  </si>
  <si>
    <t>OP_A020100_1</t>
  </si>
  <si>
    <t>OP_A021130</t>
  </si>
  <si>
    <t>OP_A021130_1</t>
  </si>
  <si>
    <t>OP_A021130_2</t>
  </si>
  <si>
    <t>OP_A021130_3</t>
  </si>
  <si>
    <t>OP_A021130_4</t>
  </si>
  <si>
    <t>OP_A021130_5</t>
  </si>
  <si>
    <t>OP_A021130_6</t>
  </si>
  <si>
    <t>AÖYB1</t>
  </si>
  <si>
    <t>AÖYB2</t>
  </si>
  <si>
    <t>AAYB1</t>
  </si>
  <si>
    <t>AAYB2</t>
  </si>
  <si>
    <t>Gelen İşçiler</t>
  </si>
  <si>
    <t>Sıra</t>
  </si>
  <si>
    <t>OP_A020080_A_4</t>
  </si>
  <si>
    <t>OP_A020330_A_3</t>
  </si>
  <si>
    <t>OP_A020330_A_4</t>
  </si>
  <si>
    <t>OP_A020800_B</t>
  </si>
  <si>
    <t>OP_A020800_B_1</t>
  </si>
  <si>
    <t>OP_A020800_B_2</t>
  </si>
  <si>
    <t>OP_A020800_B_3</t>
  </si>
  <si>
    <t>OP_A020800_B_4</t>
  </si>
  <si>
    <t>ÜSYB_1</t>
  </si>
  <si>
    <t>ÜSYB_2</t>
  </si>
  <si>
    <t>ÜSYB_3</t>
  </si>
  <si>
    <t>ÜSYB_4</t>
  </si>
  <si>
    <t>ÜSYB_5</t>
  </si>
  <si>
    <t>ÜSYB_6</t>
  </si>
  <si>
    <t>ÜSYB_7</t>
  </si>
  <si>
    <t>DKYB_1</t>
  </si>
  <si>
    <t>DKYB_2</t>
  </si>
  <si>
    <t>DKYB_3</t>
  </si>
  <si>
    <t>DKYB_4</t>
  </si>
  <si>
    <t>DKYB_5</t>
  </si>
  <si>
    <t>DKYB_6</t>
  </si>
  <si>
    <t>SCYB_1</t>
  </si>
  <si>
    <t>SCYB_2</t>
  </si>
  <si>
    <t>SCYB_3</t>
  </si>
  <si>
    <t>SCYB_4</t>
  </si>
  <si>
    <t>SCYB_5</t>
  </si>
  <si>
    <t>SCYB_6</t>
  </si>
  <si>
    <t>ASYB_1</t>
  </si>
  <si>
    <t>ASYB_2</t>
  </si>
  <si>
    <t>ASYB_3</t>
  </si>
  <si>
    <t>ASYB_4</t>
  </si>
  <si>
    <t>ASYB_5</t>
  </si>
  <si>
    <t>ASYB_6</t>
  </si>
  <si>
    <t>ASYB_7</t>
  </si>
  <si>
    <t>ASYB_8</t>
  </si>
  <si>
    <t>DKYB_7</t>
  </si>
  <si>
    <t>İKYB_1</t>
  </si>
  <si>
    <t>İKYB_2</t>
  </si>
  <si>
    <t>İKYB_3</t>
  </si>
  <si>
    <t>İKYB2_1</t>
  </si>
  <si>
    <t>İKYB2_2</t>
  </si>
  <si>
    <t>İKYB2_3</t>
  </si>
  <si>
    <t>İKYB2_4</t>
  </si>
  <si>
    <t>İKYB2_5</t>
  </si>
  <si>
    <t>İKYB3_1</t>
  </si>
  <si>
    <t>İKYB3_2</t>
  </si>
  <si>
    <t>İKYB3_3</t>
  </si>
  <si>
    <t>İKYB3_4</t>
  </si>
  <si>
    <t>İKYB3_5</t>
  </si>
  <si>
    <t>İKYB4_1</t>
  </si>
  <si>
    <t>İKYB4_2</t>
  </si>
  <si>
    <t>İKYB4_3</t>
  </si>
  <si>
    <t>İKYB4_4</t>
  </si>
  <si>
    <t>İKYB4_5</t>
  </si>
  <si>
    <t>İKYB4_6</t>
  </si>
  <si>
    <t>SMYB_1</t>
  </si>
  <si>
    <t>SMYB_2</t>
  </si>
  <si>
    <t>SMYB_3</t>
  </si>
  <si>
    <t>SMYB_4</t>
  </si>
  <si>
    <t>SMYB_5</t>
  </si>
  <si>
    <t>SMYB_6</t>
  </si>
  <si>
    <t>SMYB_7</t>
  </si>
  <si>
    <t>SMYB_8</t>
  </si>
  <si>
    <t>SMYB_9</t>
  </si>
  <si>
    <t>SMYB_10</t>
  </si>
  <si>
    <t>SMHYB_1</t>
  </si>
  <si>
    <t>SMHYB_2</t>
  </si>
  <si>
    <t>SMHYB_3</t>
  </si>
  <si>
    <t>SMHYB_4</t>
  </si>
  <si>
    <t>SMHYB_5</t>
  </si>
  <si>
    <t>SMHYB_6</t>
  </si>
  <si>
    <t>SMHYB_7</t>
  </si>
  <si>
    <t>SMHYB_8</t>
  </si>
  <si>
    <t>SMHYB_9</t>
  </si>
  <si>
    <t>OP_A021020_A</t>
  </si>
  <si>
    <t>OP_A021020_A_1</t>
  </si>
  <si>
    <t>OP_A022490_A</t>
  </si>
  <si>
    <t>OP_A022490_A_1</t>
  </si>
  <si>
    <t>OP_A022490_A_2</t>
  </si>
  <si>
    <t>OP_A022490_A_3</t>
  </si>
  <si>
    <t>OP_A022490_A_4</t>
  </si>
  <si>
    <t>AÖYB1_1</t>
  </si>
  <si>
    <t>AÖYB1_2</t>
  </si>
  <si>
    <t>AÖYB1_3</t>
  </si>
  <si>
    <t>AÖYB1_4</t>
  </si>
  <si>
    <t>AÖYB1_5</t>
  </si>
  <si>
    <t>AÖYB1_6</t>
  </si>
  <si>
    <t>AÖYB2_1</t>
  </si>
  <si>
    <t>AÖYB2_2</t>
  </si>
  <si>
    <t>AÖYB2_3</t>
  </si>
  <si>
    <t>AAYB1_1</t>
  </si>
  <si>
    <t>AAYB1_2</t>
  </si>
  <si>
    <t>AAYB1_3</t>
  </si>
  <si>
    <t>AAYB1_4</t>
  </si>
  <si>
    <t>AAYB2_1</t>
  </si>
  <si>
    <t>AAYB2_2</t>
  </si>
  <si>
    <t>AAYB2_3</t>
  </si>
  <si>
    <t>PYB1</t>
  </si>
  <si>
    <t>PYB1_1</t>
  </si>
  <si>
    <t>PYB1_2</t>
  </si>
  <si>
    <t>PYB1_3</t>
  </si>
  <si>
    <t>PYB2</t>
  </si>
  <si>
    <t>PYB2_1</t>
  </si>
  <si>
    <t>PYB2_2</t>
  </si>
  <si>
    <t>PYB2_3</t>
  </si>
  <si>
    <t>PYB3</t>
  </si>
  <si>
    <t>PYB3_1</t>
  </si>
  <si>
    <t>PYB3_2</t>
  </si>
  <si>
    <t>PYB3_3</t>
  </si>
  <si>
    <t>PYB3_4</t>
  </si>
  <si>
    <t>OP_A021460_1</t>
  </si>
  <si>
    <t>OP_A021610_1</t>
  </si>
  <si>
    <t>Süre (sn)</t>
  </si>
  <si>
    <t>SABİT İSTASYONLAR</t>
  </si>
  <si>
    <t>Sabit</t>
  </si>
  <si>
    <t>FG1</t>
  </si>
  <si>
    <t>FG1_1</t>
  </si>
  <si>
    <t>FG2</t>
  </si>
  <si>
    <t>FG2_1</t>
  </si>
  <si>
    <t>ceza</t>
  </si>
  <si>
    <t>Master Worker</t>
  </si>
  <si>
    <t>Katsayı</t>
  </si>
  <si>
    <t>DKYB1</t>
  </si>
  <si>
    <t>DKYB1_1</t>
  </si>
  <si>
    <t>DKYB1_2</t>
  </si>
  <si>
    <t>DKYB1_3</t>
  </si>
  <si>
    <t>DKYB1_4</t>
  </si>
  <si>
    <t>DKYB1_5</t>
  </si>
  <si>
    <t>DKYB1_6</t>
  </si>
  <si>
    <t>DKYB1_7</t>
  </si>
  <si>
    <t>DKYB1_8</t>
  </si>
  <si>
    <t>Oprt15</t>
  </si>
  <si>
    <t>Oprt11</t>
  </si>
  <si>
    <t>Oprt3</t>
  </si>
  <si>
    <t>Oprt26</t>
  </si>
  <si>
    <t>Oprt4</t>
  </si>
  <si>
    <t>Oprt93</t>
  </si>
  <si>
    <t>Oprt16</t>
  </si>
  <si>
    <t>Oprt67</t>
  </si>
  <si>
    <t>Oprt22</t>
  </si>
  <si>
    <t>Oprt69</t>
  </si>
  <si>
    <t>Oprt80</t>
  </si>
  <si>
    <t>Oprt87</t>
  </si>
  <si>
    <t>Oprt92</t>
  </si>
  <si>
    <t>Oprt52</t>
  </si>
  <si>
    <t>Oprt53</t>
  </si>
  <si>
    <t>Oprt61</t>
  </si>
  <si>
    <t>Oprt60</t>
  </si>
  <si>
    <t>Oprt21</t>
  </si>
  <si>
    <t>Oprt27</t>
  </si>
  <si>
    <t>Oprt45</t>
  </si>
  <si>
    <t>Oprt75</t>
  </si>
  <si>
    <t>Oprt28</t>
  </si>
  <si>
    <t>Oprt84</t>
  </si>
  <si>
    <t>Oprt6</t>
  </si>
  <si>
    <t>Oprt36</t>
  </si>
  <si>
    <t>Oprt35</t>
  </si>
  <si>
    <t>Oprt33</t>
  </si>
  <si>
    <t>Oprt94</t>
  </si>
  <si>
    <t>Oprt65</t>
  </si>
  <si>
    <t>Oprt64</t>
  </si>
  <si>
    <t>Oprt68</t>
  </si>
  <si>
    <t>Oprt34</t>
  </si>
  <si>
    <t>Oprt91</t>
  </si>
  <si>
    <t>Oprt47</t>
  </si>
  <si>
    <t>Oprt48</t>
  </si>
  <si>
    <t>Oprt70</t>
  </si>
  <si>
    <t>Oprt37</t>
  </si>
  <si>
    <t>Oprt43</t>
  </si>
  <si>
    <t>Oprt39</t>
  </si>
  <si>
    <t>Oprt74</t>
  </si>
  <si>
    <t>Oprt86</t>
  </si>
  <si>
    <t>Oprt20</t>
  </si>
  <si>
    <t>Oprt85</t>
  </si>
  <si>
    <t>Oprt44</t>
  </si>
  <si>
    <t>OP_ÜSYB_1</t>
  </si>
  <si>
    <t>Oprt78</t>
  </si>
  <si>
    <t>Oprt79</t>
  </si>
  <si>
    <t>OP_ÜSYB_2</t>
  </si>
  <si>
    <t>OP_ÜSYB_3</t>
  </si>
  <si>
    <t>OP_ÜSYB_4</t>
  </si>
  <si>
    <t>Oprt2</t>
  </si>
  <si>
    <t>OP_DKGYB_1</t>
  </si>
  <si>
    <t>Oprt17</t>
  </si>
  <si>
    <t>Oprt18</t>
  </si>
  <si>
    <t>OP_DKGYB_2</t>
  </si>
  <si>
    <t>OP_DKGYB_3</t>
  </si>
  <si>
    <t>OP_DKGYB_4</t>
  </si>
  <si>
    <t>Oprt12</t>
  </si>
  <si>
    <t>Oprt89</t>
  </si>
  <si>
    <t>Oprt62</t>
  </si>
  <si>
    <t>Oprt54</t>
  </si>
  <si>
    <t>Oprt38</t>
  </si>
  <si>
    <t>Oprt19</t>
  </si>
  <si>
    <t>Oprt40</t>
  </si>
  <si>
    <t>Oprt55</t>
  </si>
  <si>
    <t>Oprt82</t>
  </si>
  <si>
    <t>Oprt83</t>
  </si>
  <si>
    <t>Oprt42</t>
  </si>
  <si>
    <t>Oprt66</t>
  </si>
  <si>
    <t>Oprt76</t>
  </si>
  <si>
    <t>Oprt71</t>
  </si>
  <si>
    <t>Oprt46</t>
  </si>
  <si>
    <t>Oprt5</t>
  </si>
  <si>
    <t>OP_ASYB1</t>
  </si>
  <si>
    <t>Oprt1</t>
  </si>
  <si>
    <t>OP_ASYB2</t>
  </si>
  <si>
    <t>OP_ASYB3</t>
  </si>
  <si>
    <t>OP_ASYB4</t>
  </si>
  <si>
    <t>OP_ASYB5</t>
  </si>
  <si>
    <t>OP_ASYB6</t>
  </si>
  <si>
    <t>Oprt90</t>
  </si>
  <si>
    <t>Oprt72</t>
  </si>
  <si>
    <t>Oprt81</t>
  </si>
  <si>
    <t>Oprt13</t>
  </si>
  <si>
    <t>Oprt73</t>
  </si>
  <si>
    <t>Oprt77</t>
  </si>
  <si>
    <t>OP_DKYB_1</t>
  </si>
  <si>
    <t>OP_DKYB_2</t>
  </si>
  <si>
    <t>OP_DKYB_3</t>
  </si>
  <si>
    <t>OP_DKYB_4</t>
  </si>
  <si>
    <t>OP_DKYB_5</t>
  </si>
  <si>
    <t>OP_DKYB_7</t>
  </si>
  <si>
    <t>OP_DKYB_6</t>
  </si>
  <si>
    <t>OP_İKYB_1</t>
  </si>
  <si>
    <t>Oprt29</t>
  </si>
  <si>
    <t>Oprt30</t>
  </si>
  <si>
    <t>OP_İKYB_2</t>
  </si>
  <si>
    <t>OP_İKYB_3</t>
  </si>
  <si>
    <t>OP_İKYB4_1</t>
  </si>
  <si>
    <t>Oprt32</t>
  </si>
  <si>
    <t>Oprt31</t>
  </si>
  <si>
    <t>Oprt58</t>
  </si>
  <si>
    <t>OP_İKYB4_2</t>
  </si>
  <si>
    <t>OP_İKYB4_3</t>
  </si>
  <si>
    <t>OP_İKYB4_4</t>
  </si>
  <si>
    <t>OP_İKYB4_5</t>
  </si>
  <si>
    <t>OP_İKYB4_6</t>
  </si>
  <si>
    <t>OP_PYB1_1</t>
  </si>
  <si>
    <t>Oprt49</t>
  </si>
  <si>
    <t>Oprt50</t>
  </si>
  <si>
    <t>OP_PYB1_2</t>
  </si>
  <si>
    <t>OP_PYB1_3</t>
  </si>
  <si>
    <t>OP_PYB2_1</t>
  </si>
  <si>
    <t>Oprt51</t>
  </si>
  <si>
    <t>OP_PYB2_2</t>
  </si>
  <si>
    <t>OP_PYB2_3</t>
  </si>
  <si>
    <t>OP_PYB3_1</t>
  </si>
  <si>
    <t>OP_PYB3_2</t>
  </si>
  <si>
    <t>OP_PYB3_3</t>
  </si>
  <si>
    <t>OP_PYB3_4</t>
  </si>
  <si>
    <t>OP_FG1_1</t>
  </si>
  <si>
    <t>Oprt24</t>
  </si>
  <si>
    <t>Oprt23</t>
  </si>
  <si>
    <t>OP_FG2_1</t>
  </si>
  <si>
    <t>Oprt25</t>
  </si>
  <si>
    <t>Oprt7</t>
  </si>
  <si>
    <t>Oprt8</t>
  </si>
  <si>
    <t>Oprt9</t>
  </si>
  <si>
    <t>Oprt10</t>
  </si>
  <si>
    <t>Oprt14</t>
  </si>
  <si>
    <t>Oprt41</t>
  </si>
  <si>
    <t>Oprt56</t>
  </si>
  <si>
    <t>Oprt57</t>
  </si>
  <si>
    <t>Oprt59</t>
  </si>
  <si>
    <t>Oprt63</t>
  </si>
  <si>
    <t>Oprt88</t>
  </si>
  <si>
    <t>Operasyonlar</t>
  </si>
  <si>
    <t>Ceza</t>
  </si>
  <si>
    <t>ASYB1</t>
  </si>
  <si>
    <t>ASYB2</t>
  </si>
  <si>
    <t>ASYB3</t>
  </si>
  <si>
    <t>ASYB4</t>
  </si>
  <si>
    <t>ASYB5</t>
  </si>
  <si>
    <t>ASYB6</t>
  </si>
  <si>
    <t>DKGYB</t>
  </si>
  <si>
    <t>DKGYB_1</t>
  </si>
  <si>
    <t>DKGYB_2</t>
  </si>
  <si>
    <t>DKGYB_3</t>
  </si>
  <si>
    <t>DKGYB_4</t>
  </si>
  <si>
    <t>Sabit İstasyonlar</t>
  </si>
  <si>
    <t>Oprt95</t>
  </si>
  <si>
    <t>OP_ÜSYB</t>
  </si>
  <si>
    <t>OP_DKGYB</t>
  </si>
  <si>
    <t>OP_ASYB</t>
  </si>
  <si>
    <t>OP_DKYB</t>
  </si>
  <si>
    <t>OP_İKYB</t>
  </si>
  <si>
    <t>OP_İKYB4</t>
  </si>
  <si>
    <t>OP_PYB1</t>
  </si>
  <si>
    <t>OP_PYB2</t>
  </si>
  <si>
    <t>OP_PYB3</t>
  </si>
  <si>
    <t>OP_FG1</t>
  </si>
  <si>
    <t>OP_FG2</t>
  </si>
  <si>
    <t>OP_SCYB</t>
  </si>
  <si>
    <t>OP_AÖYB1</t>
  </si>
  <si>
    <t>OP_AÖYB2</t>
  </si>
  <si>
    <t>OP_AAYB1</t>
  </si>
  <si>
    <t>OP_AAYB2</t>
  </si>
  <si>
    <t>SCYB1</t>
  </si>
  <si>
    <t>SCYB2</t>
  </si>
  <si>
    <t>SCYB3</t>
  </si>
  <si>
    <t>Model</t>
  </si>
  <si>
    <t>Üretim Süresi (Bant giriş-çıkış)</t>
  </si>
  <si>
    <t>Üretilen Adet</t>
  </si>
  <si>
    <t>Devamsız Personeller</t>
  </si>
  <si>
    <t>İstasyonlar</t>
  </si>
  <si>
    <t>SABİT</t>
  </si>
  <si>
    <t>OP_İKYB2</t>
  </si>
  <si>
    <t>OP_İKYB3</t>
  </si>
  <si>
    <t>OP_SMYB</t>
  </si>
  <si>
    <t>OP_SMHYB</t>
  </si>
  <si>
    <t>OP_A022650</t>
  </si>
  <si>
    <t>OP_A021740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</si>
</sst>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name val="Arial"/>
      <family val="2"/>
      <charset val="162"/>
    </font>
    <font>
      <sz val="12"/>
      <color rgb="FF000000"/>
      <name val="Calibri"/>
      <family val="2"/>
      <charset val="162"/>
    </font>
    <font>
      <sz val="12"/>
      <color theme="1"/>
      <name val="Calibri"/>
      <family val="2"/>
      <charset val="162"/>
      <scheme val="minor"/>
    </font>
    <font>
      <sz val="8"/>
      <name val="Calibri"/>
      <family val="2"/>
      <scheme val="minor"/>
    </font>
    <font>
      <sz val="10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sz val="11"/>
      <name val="Calibri"/>
      <family val="2"/>
    </font>
    <font>
      <b/>
      <sz val="12"/>
      <color theme="1"/>
      <name val="Calibri"/>
      <family val="2"/>
      <charset val="16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8" fillId="0" borderId="0"/>
    <xf numFmtId="0" fontId="8" fillId="0" borderId="0"/>
  </cellStyleXfs>
  <cellXfs count="7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9" fillId="0" borderId="0" xfId="0" applyFont="1"/>
    <xf numFmtId="0" fontId="2" fillId="4" borderId="7" xfId="0" applyFont="1" applyFill="1" applyBorder="1" applyAlignment="1">
      <alignment horizontal="center" vertical="top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top"/>
    </xf>
    <xf numFmtId="0" fontId="3" fillId="0" borderId="1" xfId="0" applyFont="1" applyBorder="1"/>
    <xf numFmtId="0" fontId="3" fillId="3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0" fontId="6" fillId="2" borderId="1" xfId="0" applyFont="1" applyFill="1" applyBorder="1"/>
    <xf numFmtId="0" fontId="5" fillId="2" borderId="9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left"/>
    </xf>
    <xf numFmtId="0" fontId="3" fillId="7" borderId="1" xfId="0" applyFont="1" applyFill="1" applyBorder="1"/>
    <xf numFmtId="0" fontId="3" fillId="8" borderId="1" xfId="0" applyFont="1" applyFill="1" applyBorder="1"/>
    <xf numFmtId="0" fontId="6" fillId="9" borderId="4" xfId="0" applyFont="1" applyFill="1" applyBorder="1" applyAlignment="1">
      <alignment horizontal="center"/>
    </xf>
    <xf numFmtId="0" fontId="6" fillId="9" borderId="6" xfId="0" applyFont="1" applyFill="1" applyBorder="1" applyAlignment="1">
      <alignment horizontal="center"/>
    </xf>
    <xf numFmtId="0" fontId="10" fillId="0" borderId="1" xfId="0" applyFont="1" applyBorder="1"/>
    <xf numFmtId="0" fontId="0" fillId="6" borderId="12" xfId="0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3" fillId="4" borderId="1" xfId="0" applyFont="1" applyFill="1" applyBorder="1"/>
    <xf numFmtId="0" fontId="9" fillId="0" borderId="0" xfId="0" applyFon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10" borderId="1" xfId="0" applyFont="1" applyFill="1" applyBorder="1"/>
    <xf numFmtId="0" fontId="0" fillId="10" borderId="1" xfId="0" applyFill="1" applyBorder="1"/>
    <xf numFmtId="0" fontId="11" fillId="0" borderId="1" xfId="0" applyFont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2" fontId="0" fillId="11" borderId="1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4" borderId="1" xfId="0" applyFont="1" applyFill="1" applyBorder="1" applyAlignment="1">
      <alignment horizontal="center" vertical="top" wrapText="1"/>
    </xf>
    <xf numFmtId="0" fontId="0" fillId="0" borderId="1" xfId="0" applyBorder="1"/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12" borderId="1" xfId="0" applyFont="1" applyFill="1" applyBorder="1"/>
    <xf numFmtId="0" fontId="0" fillId="12" borderId="1" xfId="0" applyFill="1" applyBorder="1"/>
    <xf numFmtId="21" fontId="0" fillId="0" borderId="1" xfId="0" applyNumberForma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3" fillId="3" borderId="8" xfId="0" applyFont="1" applyFill="1" applyBorder="1"/>
    <xf numFmtId="0" fontId="6" fillId="5" borderId="5" xfId="0" applyFont="1" applyFill="1" applyBorder="1" applyAlignment="1">
      <alignment horizontal="center" vertical="center"/>
    </xf>
    <xf numFmtId="0" fontId="3" fillId="3" borderId="9" xfId="0" applyFont="1" applyFill="1" applyBorder="1"/>
    <xf numFmtId="0" fontId="3" fillId="10" borderId="8" xfId="0" applyFont="1" applyFill="1" applyBorder="1"/>
    <xf numFmtId="0" fontId="3" fillId="10" borderId="9" xfId="0" applyFont="1" applyFill="1" applyBorder="1"/>
    <xf numFmtId="0" fontId="0" fillId="2" borderId="16" xfId="0" applyFill="1" applyBorder="1"/>
    <xf numFmtId="0" fontId="0" fillId="0" borderId="1" xfId="0" applyBorder="1" applyAlignment="1">
      <alignment horizontal="center" vertical="center"/>
    </xf>
    <xf numFmtId="2" fontId="0" fillId="0" borderId="17" xfId="0" applyNumberFormat="1" applyFill="1" applyBorder="1" applyAlignment="1">
      <alignment horizontal="center" vertical="center"/>
    </xf>
  </cellXfs>
  <cellStyles count="4">
    <cellStyle name="Normal" xfId="0" builtinId="0"/>
    <cellStyle name="Normal 2 2" xfId="2" xr:uid="{51C776F3-6A26-4549-A832-6CF2977AF346}"/>
    <cellStyle name="Normal 2 3 2" xfId="3" xr:uid="{F299E4CD-B172-4FA3-96E4-F2649EEDE1C5}"/>
    <cellStyle name="Normal 4" xfId="1" xr:uid="{B5D9B51D-56CD-455F-AAF5-7A2D52F9F0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B532A-D2D2-4009-A1DE-594C2C255983}">
  <dimension ref="A1:H94"/>
  <sheetViews>
    <sheetView workbookViewId="0">
      <selection activeCell="D17" sqref="D17"/>
    </sheetView>
  </sheetViews>
  <sheetFormatPr defaultRowHeight="14.4" x14ac:dyDescent="0.3"/>
  <sheetData>
    <row r="1" spans="1:2" x14ac:dyDescent="0.3">
      <c r="A1" s="4" t="s">
        <v>461</v>
      </c>
    </row>
    <row r="2" spans="1:2" x14ac:dyDescent="0.3">
      <c r="A2" s="52" t="s">
        <v>668</v>
      </c>
      <c r="B2" s="52"/>
    </row>
    <row r="3" spans="1:2" x14ac:dyDescent="0.3">
      <c r="A3" s="52" t="s">
        <v>596</v>
      </c>
      <c r="B3" s="52"/>
    </row>
    <row r="4" spans="1:2" x14ac:dyDescent="0.3">
      <c r="A4" s="52" t="s">
        <v>598</v>
      </c>
      <c r="B4" s="52"/>
    </row>
    <row r="5" spans="1:2" x14ac:dyDescent="0.3">
      <c r="A5" s="52" t="s">
        <v>666</v>
      </c>
      <c r="B5" s="52"/>
    </row>
    <row r="6" spans="1:2" x14ac:dyDescent="0.3">
      <c r="A6" s="52" t="s">
        <v>617</v>
      </c>
      <c r="B6" s="52"/>
    </row>
    <row r="7" spans="1:2" x14ac:dyDescent="0.3">
      <c r="A7" s="52" t="s">
        <v>719</v>
      </c>
      <c r="B7" s="52"/>
    </row>
    <row r="8" spans="1:2" x14ac:dyDescent="0.3">
      <c r="A8" s="52" t="s">
        <v>720</v>
      </c>
      <c r="B8" s="52"/>
    </row>
    <row r="9" spans="1:2" x14ac:dyDescent="0.3">
      <c r="A9" s="52" t="s">
        <v>721</v>
      </c>
      <c r="B9" s="52"/>
    </row>
    <row r="10" spans="1:2" x14ac:dyDescent="0.3">
      <c r="A10" s="52" t="s">
        <v>722</v>
      </c>
      <c r="B10" s="52"/>
    </row>
    <row r="11" spans="1:2" x14ac:dyDescent="0.3">
      <c r="A11" s="52" t="s">
        <v>595</v>
      </c>
      <c r="B11" s="52"/>
    </row>
    <row r="12" spans="1:2" x14ac:dyDescent="0.3">
      <c r="A12" s="52" t="s">
        <v>651</v>
      </c>
      <c r="B12" s="52"/>
    </row>
    <row r="13" spans="1:2" x14ac:dyDescent="0.3">
      <c r="A13" s="52" t="s">
        <v>677</v>
      </c>
      <c r="B13" s="52"/>
    </row>
    <row r="14" spans="1:2" x14ac:dyDescent="0.3">
      <c r="A14" s="52" t="s">
        <v>594</v>
      </c>
      <c r="B14" s="52"/>
    </row>
    <row r="15" spans="1:2" x14ac:dyDescent="0.3">
      <c r="A15" s="52" t="s">
        <v>600</v>
      </c>
      <c r="B15" s="52"/>
    </row>
    <row r="16" spans="1:2" x14ac:dyDescent="0.3">
      <c r="A16" s="52" t="s">
        <v>646</v>
      </c>
      <c r="B16" s="52"/>
    </row>
    <row r="17" spans="1:4" x14ac:dyDescent="0.3">
      <c r="A17" s="52" t="s">
        <v>647</v>
      </c>
      <c r="B17" s="52"/>
    </row>
    <row r="18" spans="1:4" x14ac:dyDescent="0.3">
      <c r="A18" s="52" t="s">
        <v>656</v>
      </c>
      <c r="B18" s="52"/>
    </row>
    <row r="19" spans="1:4" x14ac:dyDescent="0.3">
      <c r="A19" s="52" t="s">
        <v>635</v>
      </c>
      <c r="B19" s="52"/>
    </row>
    <row r="20" spans="1:4" x14ac:dyDescent="0.3">
      <c r="A20" s="52" t="s">
        <v>611</v>
      </c>
      <c r="B20" s="52"/>
    </row>
    <row r="21" spans="1:4" x14ac:dyDescent="0.3">
      <c r="A21" s="52" t="s">
        <v>602</v>
      </c>
      <c r="B21" s="52"/>
    </row>
    <row r="22" spans="1:4" x14ac:dyDescent="0.3">
      <c r="A22" s="52" t="s">
        <v>716</v>
      </c>
      <c r="B22" s="52"/>
    </row>
    <row r="23" spans="1:4" x14ac:dyDescent="0.3">
      <c r="A23" s="52" t="s">
        <v>715</v>
      </c>
      <c r="B23" s="52"/>
    </row>
    <row r="24" spans="1:4" x14ac:dyDescent="0.3">
      <c r="A24" s="52" t="s">
        <v>718</v>
      </c>
      <c r="B24" s="52"/>
    </row>
    <row r="25" spans="1:4" x14ac:dyDescent="0.3">
      <c r="A25" s="52" t="s">
        <v>597</v>
      </c>
      <c r="B25" s="52"/>
    </row>
    <row r="26" spans="1:4" x14ac:dyDescent="0.3">
      <c r="A26" s="52" t="s">
        <v>612</v>
      </c>
      <c r="B26" s="52"/>
    </row>
    <row r="27" spans="1:4" x14ac:dyDescent="0.3">
      <c r="A27" s="52" t="s">
        <v>615</v>
      </c>
      <c r="B27" s="52"/>
    </row>
    <row r="28" spans="1:4" x14ac:dyDescent="0.3">
      <c r="A28" s="52" t="s">
        <v>688</v>
      </c>
      <c r="B28" s="52"/>
      <c r="D28" s="2"/>
    </row>
    <row r="29" spans="1:4" x14ac:dyDescent="0.3">
      <c r="A29" s="52" t="s">
        <v>689</v>
      </c>
      <c r="B29" s="52"/>
      <c r="D29" s="2"/>
    </row>
    <row r="30" spans="1:4" x14ac:dyDescent="0.3">
      <c r="A30" s="52" t="s">
        <v>694</v>
      </c>
      <c r="B30" s="52"/>
      <c r="D30" s="2"/>
    </row>
    <row r="31" spans="1:4" x14ac:dyDescent="0.3">
      <c r="A31" s="52" t="s">
        <v>693</v>
      </c>
      <c r="B31" s="52"/>
    </row>
    <row r="32" spans="1:4" x14ac:dyDescent="0.3">
      <c r="A32" s="52" t="s">
        <v>620</v>
      </c>
      <c r="B32" s="52"/>
    </row>
    <row r="33" spans="1:8" x14ac:dyDescent="0.3">
      <c r="A33" s="52" t="s">
        <v>625</v>
      </c>
      <c r="B33" s="52"/>
    </row>
    <row r="34" spans="1:8" x14ac:dyDescent="0.3">
      <c r="A34" s="52" t="s">
        <v>619</v>
      </c>
      <c r="B34" s="52"/>
    </row>
    <row r="35" spans="1:8" x14ac:dyDescent="0.3">
      <c r="A35" s="52" t="s">
        <v>618</v>
      </c>
      <c r="B35" s="52"/>
    </row>
    <row r="36" spans="1:8" x14ac:dyDescent="0.3">
      <c r="A36" s="52" t="s">
        <v>630</v>
      </c>
      <c r="B36" s="52"/>
    </row>
    <row r="37" spans="1:8" x14ac:dyDescent="0.3">
      <c r="A37" s="52" t="s">
        <v>655</v>
      </c>
      <c r="B37" s="52"/>
    </row>
    <row r="38" spans="1:8" x14ac:dyDescent="0.3">
      <c r="A38" s="52" t="s">
        <v>632</v>
      </c>
      <c r="B38" s="52"/>
    </row>
    <row r="39" spans="1:8" x14ac:dyDescent="0.3">
      <c r="A39" s="52" t="s">
        <v>657</v>
      </c>
      <c r="B39" s="52"/>
    </row>
    <row r="40" spans="1:8" x14ac:dyDescent="0.3">
      <c r="A40" s="52" t="s">
        <v>724</v>
      </c>
      <c r="B40" s="52"/>
    </row>
    <row r="41" spans="1:8" x14ac:dyDescent="0.3">
      <c r="A41" s="52" t="s">
        <v>661</v>
      </c>
      <c r="B41" s="52"/>
    </row>
    <row r="42" spans="1:8" x14ac:dyDescent="0.3">
      <c r="A42" s="52" t="s">
        <v>631</v>
      </c>
      <c r="B42" s="52"/>
    </row>
    <row r="43" spans="1:8" x14ac:dyDescent="0.3">
      <c r="A43" s="52" t="s">
        <v>637</v>
      </c>
      <c r="B43" s="52"/>
    </row>
    <row r="44" spans="1:8" x14ac:dyDescent="0.3">
      <c r="A44" s="52" t="s">
        <v>613</v>
      </c>
      <c r="B44" s="52"/>
    </row>
    <row r="45" spans="1:8" x14ac:dyDescent="0.3">
      <c r="A45" s="52" t="s">
        <v>665</v>
      </c>
      <c r="B45" s="52"/>
    </row>
    <row r="46" spans="1:8" x14ac:dyDescent="0.3">
      <c r="A46" s="52" t="s">
        <v>627</v>
      </c>
      <c r="B46" s="52"/>
    </row>
    <row r="47" spans="1:8" x14ac:dyDescent="0.3">
      <c r="A47" s="52" t="s">
        <v>628</v>
      </c>
      <c r="B47" s="52"/>
      <c r="E47" s="19"/>
      <c r="F47" s="15"/>
      <c r="G47" s="19"/>
      <c r="H47" s="8"/>
    </row>
    <row r="48" spans="1:8" x14ac:dyDescent="0.3">
      <c r="A48" s="52" t="s">
        <v>702</v>
      </c>
      <c r="B48" s="52"/>
    </row>
    <row r="49" spans="1:2" x14ac:dyDescent="0.3">
      <c r="A49" s="52" t="s">
        <v>703</v>
      </c>
      <c r="B49" s="52"/>
    </row>
    <row r="50" spans="1:2" x14ac:dyDescent="0.3">
      <c r="A50" s="52" t="s">
        <v>707</v>
      </c>
      <c r="B50" s="52"/>
    </row>
    <row r="51" spans="1:2" x14ac:dyDescent="0.3">
      <c r="A51" s="52" t="s">
        <v>607</v>
      </c>
      <c r="B51" s="52"/>
    </row>
    <row r="52" spans="1:2" x14ac:dyDescent="0.3">
      <c r="A52" s="52" t="s">
        <v>608</v>
      </c>
      <c r="B52" s="52"/>
    </row>
    <row r="53" spans="1:2" x14ac:dyDescent="0.3">
      <c r="A53" s="52" t="s">
        <v>654</v>
      </c>
      <c r="B53" s="52"/>
    </row>
    <row r="54" spans="1:2" x14ac:dyDescent="0.3">
      <c r="A54" s="52" t="s">
        <v>658</v>
      </c>
      <c r="B54" s="52"/>
    </row>
    <row r="55" spans="1:2" x14ac:dyDescent="0.3">
      <c r="A55" s="52" t="s">
        <v>725</v>
      </c>
      <c r="B55" s="52"/>
    </row>
    <row r="56" spans="1:2" x14ac:dyDescent="0.3">
      <c r="A56" s="52" t="s">
        <v>726</v>
      </c>
      <c r="B56" s="52"/>
    </row>
    <row r="57" spans="1:2" x14ac:dyDescent="0.3">
      <c r="A57" s="52" t="s">
        <v>695</v>
      </c>
      <c r="B57" s="52"/>
    </row>
    <row r="58" spans="1:2" x14ac:dyDescent="0.3">
      <c r="A58" s="52" t="s">
        <v>727</v>
      </c>
      <c r="B58" s="52"/>
    </row>
    <row r="59" spans="1:2" x14ac:dyDescent="0.3">
      <c r="A59" s="52" t="s">
        <v>610</v>
      </c>
      <c r="B59" s="52"/>
    </row>
    <row r="60" spans="1:2" x14ac:dyDescent="0.3">
      <c r="A60" s="52" t="s">
        <v>609</v>
      </c>
      <c r="B60" s="52"/>
    </row>
    <row r="61" spans="1:2" x14ac:dyDescent="0.3">
      <c r="A61" s="52" t="s">
        <v>653</v>
      </c>
      <c r="B61" s="52"/>
    </row>
    <row r="62" spans="1:2" x14ac:dyDescent="0.3">
      <c r="A62" s="52" t="s">
        <v>728</v>
      </c>
      <c r="B62" s="52"/>
    </row>
    <row r="63" spans="1:2" x14ac:dyDescent="0.3">
      <c r="A63" s="52" t="s">
        <v>623</v>
      </c>
      <c r="B63" s="52"/>
    </row>
    <row r="64" spans="1:2" x14ac:dyDescent="0.3">
      <c r="A64" s="52" t="s">
        <v>622</v>
      </c>
      <c r="B64" s="52"/>
    </row>
    <row r="65" spans="1:2" x14ac:dyDescent="0.3">
      <c r="A65" s="52" t="s">
        <v>662</v>
      </c>
      <c r="B65" s="52"/>
    </row>
    <row r="66" spans="1:2" x14ac:dyDescent="0.3">
      <c r="A66" s="52" t="s">
        <v>601</v>
      </c>
      <c r="B66" s="52"/>
    </row>
    <row r="67" spans="1:2" x14ac:dyDescent="0.3">
      <c r="A67" s="52" t="s">
        <v>624</v>
      </c>
      <c r="B67" s="52"/>
    </row>
    <row r="68" spans="1:2" x14ac:dyDescent="0.3">
      <c r="A68" s="52" t="s">
        <v>603</v>
      </c>
      <c r="B68" s="52"/>
    </row>
    <row r="69" spans="1:2" x14ac:dyDescent="0.3">
      <c r="A69" s="52" t="s">
        <v>629</v>
      </c>
      <c r="B69" s="52"/>
    </row>
    <row r="70" spans="1:2" x14ac:dyDescent="0.3">
      <c r="A70" s="52" t="s">
        <v>664</v>
      </c>
      <c r="B70" s="52"/>
    </row>
    <row r="71" spans="1:2" x14ac:dyDescent="0.3">
      <c r="A71" s="52" t="s">
        <v>675</v>
      </c>
      <c r="B71" s="52"/>
    </row>
    <row r="72" spans="1:2" x14ac:dyDescent="0.3">
      <c r="A72" s="52" t="s">
        <v>678</v>
      </c>
      <c r="B72" s="52"/>
    </row>
    <row r="73" spans="1:2" x14ac:dyDescent="0.3">
      <c r="A73" s="52" t="s">
        <v>633</v>
      </c>
      <c r="B73" s="52"/>
    </row>
    <row r="74" spans="1:2" x14ac:dyDescent="0.3">
      <c r="A74" s="52" t="s">
        <v>614</v>
      </c>
      <c r="B74" s="52"/>
    </row>
    <row r="75" spans="1:2" x14ac:dyDescent="0.3">
      <c r="A75" s="52" t="s">
        <v>663</v>
      </c>
      <c r="B75" s="52"/>
    </row>
    <row r="76" spans="1:2" x14ac:dyDescent="0.3">
      <c r="A76" s="52" t="s">
        <v>679</v>
      </c>
      <c r="B76" s="52"/>
    </row>
    <row r="77" spans="1:2" x14ac:dyDescent="0.3">
      <c r="A77" s="52" t="s">
        <v>639</v>
      </c>
      <c r="B77" s="52"/>
    </row>
    <row r="78" spans="1:2" x14ac:dyDescent="0.3">
      <c r="A78" s="52" t="s">
        <v>640</v>
      </c>
      <c r="B78" s="52"/>
    </row>
    <row r="79" spans="1:2" x14ac:dyDescent="0.3">
      <c r="A79" s="52" t="s">
        <v>604</v>
      </c>
      <c r="B79" s="52"/>
    </row>
    <row r="80" spans="1:2" x14ac:dyDescent="0.3">
      <c r="A80" s="52" t="s">
        <v>676</v>
      </c>
      <c r="B80" s="52"/>
    </row>
    <row r="81" spans="1:2" x14ac:dyDescent="0.3">
      <c r="A81" s="52" t="s">
        <v>659</v>
      </c>
      <c r="B81" s="52"/>
    </row>
    <row r="82" spans="1:2" x14ac:dyDescent="0.3">
      <c r="A82" s="52" t="s">
        <v>660</v>
      </c>
      <c r="B82" s="52"/>
    </row>
    <row r="83" spans="1:2" x14ac:dyDescent="0.3">
      <c r="A83" s="52" t="s">
        <v>616</v>
      </c>
      <c r="B83" s="52"/>
    </row>
    <row r="84" spans="1:2" x14ac:dyDescent="0.3">
      <c r="A84" s="52" t="s">
        <v>636</v>
      </c>
      <c r="B84" s="52"/>
    </row>
    <row r="85" spans="1:2" x14ac:dyDescent="0.3">
      <c r="A85" s="52" t="s">
        <v>634</v>
      </c>
      <c r="B85" s="52"/>
    </row>
    <row r="86" spans="1:2" x14ac:dyDescent="0.3">
      <c r="A86" s="52" t="s">
        <v>605</v>
      </c>
    </row>
    <row r="87" spans="1:2" x14ac:dyDescent="0.3">
      <c r="A87" s="52" t="s">
        <v>729</v>
      </c>
    </row>
    <row r="88" spans="1:2" x14ac:dyDescent="0.3">
      <c r="A88" s="52" t="s">
        <v>652</v>
      </c>
    </row>
    <row r="89" spans="1:2" x14ac:dyDescent="0.3">
      <c r="A89" s="52" t="s">
        <v>674</v>
      </c>
    </row>
    <row r="90" spans="1:2" x14ac:dyDescent="0.3">
      <c r="A90" s="52" t="s">
        <v>626</v>
      </c>
    </row>
    <row r="91" spans="1:2" x14ac:dyDescent="0.3">
      <c r="A91" s="52" t="s">
        <v>606</v>
      </c>
    </row>
    <row r="92" spans="1:2" x14ac:dyDescent="0.3">
      <c r="A92" s="52" t="s">
        <v>599</v>
      </c>
    </row>
    <row r="93" spans="1:2" x14ac:dyDescent="0.3">
      <c r="A93" s="52" t="s">
        <v>621</v>
      </c>
    </row>
    <row r="94" spans="1:2" x14ac:dyDescent="0.3">
      <c r="A94" s="52" t="s">
        <v>744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A889F-152E-4127-9EB4-6C9FDACDE4C3}">
  <dimension ref="A1:F776"/>
  <sheetViews>
    <sheetView topLeftCell="A296" zoomScale="81" zoomScaleNormal="115" workbookViewId="0">
      <selection activeCell="J314" sqref="J314"/>
    </sheetView>
  </sheetViews>
  <sheetFormatPr defaultRowHeight="14.4" x14ac:dyDescent="0.3"/>
  <cols>
    <col min="1" max="1" width="18.77734375" style="1" bestFit="1" customWidth="1"/>
    <col min="2" max="2" width="19.109375" style="1" bestFit="1" customWidth="1"/>
    <col min="4" max="4" width="9.77734375" bestFit="1" customWidth="1"/>
    <col min="6" max="6" width="30.77734375" style="1" customWidth="1"/>
  </cols>
  <sheetData>
    <row r="1" spans="1:6" ht="15" thickBot="1" x14ac:dyDescent="0.35">
      <c r="A1" s="21" t="s">
        <v>59</v>
      </c>
      <c r="B1" s="21" t="s">
        <v>60</v>
      </c>
      <c r="C1" s="22" t="s">
        <v>575</v>
      </c>
      <c r="D1" s="6" t="s">
        <v>582</v>
      </c>
      <c r="E1" s="5" t="s">
        <v>462</v>
      </c>
      <c r="F1" s="20" t="s">
        <v>576</v>
      </c>
    </row>
    <row r="2" spans="1:6" x14ac:dyDescent="0.3">
      <c r="A2" s="24" t="s">
        <v>319</v>
      </c>
      <c r="B2" s="24" t="s">
        <v>325</v>
      </c>
      <c r="C2" s="25">
        <v>2.8</v>
      </c>
      <c r="D2">
        <f t="shared" ref="D2:D8" si="0">IF(F2="Sabit",999999999,10000)</f>
        <v>999999999</v>
      </c>
      <c r="E2">
        <v>2</v>
      </c>
      <c r="F2" s="23" t="s">
        <v>577</v>
      </c>
    </row>
    <row r="3" spans="1:6" x14ac:dyDescent="0.3">
      <c r="A3" s="27" t="s">
        <v>319</v>
      </c>
      <c r="B3" s="27" t="s">
        <v>326</v>
      </c>
      <c r="C3" s="28">
        <v>2.8</v>
      </c>
      <c r="D3">
        <f t="shared" si="0"/>
        <v>999999999</v>
      </c>
      <c r="E3">
        <v>2</v>
      </c>
      <c r="F3" s="26" t="s">
        <v>577</v>
      </c>
    </row>
    <row r="4" spans="1:6" x14ac:dyDescent="0.3">
      <c r="A4" s="27" t="s">
        <v>319</v>
      </c>
      <c r="B4" s="27" t="s">
        <v>321</v>
      </c>
      <c r="C4" s="28">
        <v>3.5</v>
      </c>
      <c r="D4">
        <f t="shared" si="0"/>
        <v>999999999</v>
      </c>
      <c r="E4">
        <v>2</v>
      </c>
      <c r="F4" s="26" t="s">
        <v>577</v>
      </c>
    </row>
    <row r="5" spans="1:6" x14ac:dyDescent="0.3">
      <c r="A5" s="27" t="s">
        <v>319</v>
      </c>
      <c r="B5" s="27" t="s">
        <v>323</v>
      </c>
      <c r="C5" s="28">
        <v>3.5</v>
      </c>
      <c r="D5">
        <f t="shared" si="0"/>
        <v>999999999</v>
      </c>
      <c r="E5">
        <v>2</v>
      </c>
      <c r="F5" s="26" t="s">
        <v>577</v>
      </c>
    </row>
    <row r="6" spans="1:6" x14ac:dyDescent="0.3">
      <c r="A6" s="27" t="s">
        <v>319</v>
      </c>
      <c r="B6" s="27" t="s">
        <v>324</v>
      </c>
      <c r="C6" s="28">
        <v>4.5</v>
      </c>
      <c r="D6">
        <f t="shared" si="0"/>
        <v>999999999</v>
      </c>
      <c r="E6">
        <v>2</v>
      </c>
      <c r="F6" s="26" t="s">
        <v>577</v>
      </c>
    </row>
    <row r="7" spans="1:6" x14ac:dyDescent="0.3">
      <c r="A7" s="27" t="s">
        <v>319</v>
      </c>
      <c r="B7" s="27" t="s">
        <v>320</v>
      </c>
      <c r="C7" s="28">
        <v>9.5</v>
      </c>
      <c r="D7">
        <f t="shared" si="0"/>
        <v>999999999</v>
      </c>
      <c r="E7">
        <v>2</v>
      </c>
      <c r="F7" s="26" t="s">
        <v>577</v>
      </c>
    </row>
    <row r="8" spans="1:6" x14ac:dyDescent="0.3">
      <c r="A8" s="27" t="s">
        <v>319</v>
      </c>
      <c r="B8" s="27" t="s">
        <v>322</v>
      </c>
      <c r="C8" s="28">
        <v>9.5</v>
      </c>
      <c r="D8">
        <f t="shared" si="0"/>
        <v>999999999</v>
      </c>
      <c r="E8">
        <v>2</v>
      </c>
      <c r="F8" s="26" t="s">
        <v>577</v>
      </c>
    </row>
    <row r="9" spans="1:6" x14ac:dyDescent="0.3">
      <c r="A9" s="27" t="s">
        <v>0</v>
      </c>
      <c r="B9" s="27" t="s">
        <v>62</v>
      </c>
      <c r="C9" s="28">
        <v>6.1</v>
      </c>
      <c r="D9">
        <f t="shared" ref="D9:D72" si="1">IF(F9="Sabit",999999999,1000000)</f>
        <v>1000000</v>
      </c>
      <c r="E9">
        <v>3</v>
      </c>
      <c r="F9" s="26"/>
    </row>
    <row r="10" spans="1:6" x14ac:dyDescent="0.3">
      <c r="A10" s="27" t="s">
        <v>0</v>
      </c>
      <c r="B10" s="27" t="s">
        <v>63</v>
      </c>
      <c r="C10" s="28">
        <v>6.1</v>
      </c>
      <c r="D10">
        <f t="shared" si="1"/>
        <v>1000000</v>
      </c>
      <c r="E10">
        <v>3</v>
      </c>
      <c r="F10" s="26"/>
    </row>
    <row r="11" spans="1:6" x14ac:dyDescent="0.3">
      <c r="A11" s="27" t="s">
        <v>1</v>
      </c>
      <c r="B11" s="27" t="s">
        <v>64</v>
      </c>
      <c r="C11" s="28">
        <v>5.8</v>
      </c>
      <c r="D11">
        <f t="shared" si="1"/>
        <v>999999999</v>
      </c>
      <c r="E11">
        <v>4</v>
      </c>
      <c r="F11" s="26" t="s">
        <v>577</v>
      </c>
    </row>
    <row r="12" spans="1:6" x14ac:dyDescent="0.3">
      <c r="A12" s="27" t="s">
        <v>1</v>
      </c>
      <c r="B12" s="27" t="s">
        <v>65</v>
      </c>
      <c r="C12" s="28">
        <v>6.4</v>
      </c>
      <c r="D12">
        <f t="shared" si="1"/>
        <v>999999999</v>
      </c>
      <c r="E12">
        <v>4</v>
      </c>
      <c r="F12" s="26" t="s">
        <v>577</v>
      </c>
    </row>
    <row r="13" spans="1:6" x14ac:dyDescent="0.3">
      <c r="A13" s="37" t="s">
        <v>2</v>
      </c>
      <c r="B13" s="37" t="s">
        <v>288</v>
      </c>
      <c r="C13" s="28">
        <v>1</v>
      </c>
      <c r="D13">
        <f t="shared" si="1"/>
        <v>999999999</v>
      </c>
      <c r="E13">
        <v>5</v>
      </c>
      <c r="F13" s="26" t="s">
        <v>577</v>
      </c>
    </row>
    <row r="14" spans="1:6" x14ac:dyDescent="0.3">
      <c r="A14" s="37" t="s">
        <v>2</v>
      </c>
      <c r="B14" s="37" t="s">
        <v>288</v>
      </c>
      <c r="C14" s="28">
        <v>1</v>
      </c>
      <c r="D14">
        <f t="shared" si="1"/>
        <v>999999999</v>
      </c>
      <c r="E14">
        <v>5</v>
      </c>
      <c r="F14" s="26" t="s">
        <v>577</v>
      </c>
    </row>
    <row r="15" spans="1:6" x14ac:dyDescent="0.3">
      <c r="A15" s="37" t="s">
        <v>2</v>
      </c>
      <c r="B15" s="37" t="s">
        <v>463</v>
      </c>
      <c r="C15" s="28">
        <v>2.8</v>
      </c>
      <c r="D15">
        <f t="shared" si="1"/>
        <v>999999999</v>
      </c>
      <c r="E15">
        <v>5</v>
      </c>
      <c r="F15" s="26" t="s">
        <v>577</v>
      </c>
    </row>
    <row r="16" spans="1:6" x14ac:dyDescent="0.3">
      <c r="A16" s="37" t="s">
        <v>2</v>
      </c>
      <c r="B16" s="37" t="s">
        <v>286</v>
      </c>
      <c r="C16" s="28">
        <v>6.1</v>
      </c>
      <c r="D16">
        <f t="shared" si="1"/>
        <v>999999999</v>
      </c>
      <c r="E16">
        <v>5</v>
      </c>
      <c r="F16" s="26" t="s">
        <v>577</v>
      </c>
    </row>
    <row r="17" spans="1:6" x14ac:dyDescent="0.3">
      <c r="A17" s="37" t="s">
        <v>2</v>
      </c>
      <c r="B17" s="37" t="s">
        <v>286</v>
      </c>
      <c r="C17" s="28">
        <v>6.1</v>
      </c>
      <c r="D17">
        <f t="shared" si="1"/>
        <v>999999999</v>
      </c>
      <c r="E17">
        <v>5</v>
      </c>
      <c r="F17" s="26" t="s">
        <v>577</v>
      </c>
    </row>
    <row r="18" spans="1:6" x14ac:dyDescent="0.3">
      <c r="A18" s="37" t="s">
        <v>2</v>
      </c>
      <c r="B18" s="37" t="s">
        <v>287</v>
      </c>
      <c r="C18" s="28">
        <v>6.4</v>
      </c>
      <c r="D18">
        <f t="shared" si="1"/>
        <v>999999999</v>
      </c>
      <c r="E18">
        <v>5</v>
      </c>
      <c r="F18" s="26" t="s">
        <v>577</v>
      </c>
    </row>
    <row r="19" spans="1:6" x14ac:dyDescent="0.3">
      <c r="A19" s="37" t="s">
        <v>2</v>
      </c>
      <c r="B19" s="37" t="s">
        <v>287</v>
      </c>
      <c r="C19" s="28">
        <v>6.4</v>
      </c>
      <c r="D19">
        <f t="shared" si="1"/>
        <v>999999999</v>
      </c>
      <c r="E19">
        <v>5</v>
      </c>
      <c r="F19" s="26" t="s">
        <v>577</v>
      </c>
    </row>
    <row r="20" spans="1:6" x14ac:dyDescent="0.3">
      <c r="A20" s="27" t="s">
        <v>3</v>
      </c>
      <c r="B20" s="27" t="s">
        <v>67</v>
      </c>
      <c r="C20" s="28">
        <v>3.1</v>
      </c>
      <c r="D20">
        <f t="shared" si="1"/>
        <v>1000000</v>
      </c>
      <c r="E20">
        <v>6</v>
      </c>
      <c r="F20" s="26"/>
    </row>
    <row r="21" spans="1:6" x14ac:dyDescent="0.3">
      <c r="A21" s="27" t="s">
        <v>3</v>
      </c>
      <c r="B21" s="27" t="s">
        <v>66</v>
      </c>
      <c r="C21" s="28">
        <v>9.5</v>
      </c>
      <c r="D21">
        <f t="shared" si="1"/>
        <v>1000000</v>
      </c>
      <c r="E21">
        <v>6</v>
      </c>
      <c r="F21" s="26"/>
    </row>
    <row r="22" spans="1:6" x14ac:dyDescent="0.3">
      <c r="A22" s="27" t="s">
        <v>5</v>
      </c>
      <c r="B22" s="27" t="s">
        <v>70</v>
      </c>
      <c r="C22" s="28">
        <v>0.3</v>
      </c>
      <c r="D22">
        <f t="shared" si="1"/>
        <v>1000000</v>
      </c>
      <c r="E22">
        <v>7</v>
      </c>
      <c r="F22" s="26"/>
    </row>
    <row r="23" spans="1:6" x14ac:dyDescent="0.3">
      <c r="A23" s="27" t="s">
        <v>5</v>
      </c>
      <c r="B23" s="27" t="s">
        <v>70</v>
      </c>
      <c r="C23" s="28">
        <v>0.3</v>
      </c>
      <c r="D23">
        <f t="shared" si="1"/>
        <v>1000000</v>
      </c>
      <c r="E23">
        <v>7</v>
      </c>
      <c r="F23" s="26"/>
    </row>
    <row r="24" spans="1:6" x14ac:dyDescent="0.3">
      <c r="A24" s="27" t="s">
        <v>5</v>
      </c>
      <c r="B24" s="27" t="s">
        <v>70</v>
      </c>
      <c r="C24" s="28">
        <v>0.3</v>
      </c>
      <c r="D24">
        <f t="shared" si="1"/>
        <v>1000000</v>
      </c>
      <c r="E24">
        <v>7</v>
      </c>
      <c r="F24" s="26"/>
    </row>
    <row r="25" spans="1:6" x14ac:dyDescent="0.3">
      <c r="A25" s="27" t="s">
        <v>5</v>
      </c>
      <c r="B25" s="27" t="s">
        <v>70</v>
      </c>
      <c r="C25" s="28">
        <v>0.3</v>
      </c>
      <c r="D25">
        <f t="shared" si="1"/>
        <v>1000000</v>
      </c>
      <c r="E25">
        <v>7</v>
      </c>
      <c r="F25" s="26"/>
    </row>
    <row r="26" spans="1:6" x14ac:dyDescent="0.3">
      <c r="A26" s="27" t="s">
        <v>5</v>
      </c>
      <c r="B26" s="27" t="s">
        <v>69</v>
      </c>
      <c r="C26" s="28">
        <v>3.1</v>
      </c>
      <c r="D26">
        <f t="shared" si="1"/>
        <v>1000000</v>
      </c>
      <c r="E26">
        <v>7</v>
      </c>
      <c r="F26" s="26"/>
    </row>
    <row r="27" spans="1:6" x14ac:dyDescent="0.3">
      <c r="A27" s="27" t="s">
        <v>5</v>
      </c>
      <c r="B27" s="27" t="s">
        <v>69</v>
      </c>
      <c r="C27" s="28">
        <v>3.1</v>
      </c>
      <c r="D27">
        <f t="shared" si="1"/>
        <v>1000000</v>
      </c>
      <c r="E27">
        <v>7</v>
      </c>
      <c r="F27" s="26"/>
    </row>
    <row r="28" spans="1:6" x14ac:dyDescent="0.3">
      <c r="A28" s="27" t="s">
        <v>5</v>
      </c>
      <c r="B28" s="27" t="s">
        <v>69</v>
      </c>
      <c r="C28" s="28">
        <v>3.1</v>
      </c>
      <c r="D28">
        <f t="shared" si="1"/>
        <v>1000000</v>
      </c>
      <c r="E28">
        <v>7</v>
      </c>
      <c r="F28" s="26"/>
    </row>
    <row r="29" spans="1:6" x14ac:dyDescent="0.3">
      <c r="A29" s="27" t="s">
        <v>5</v>
      </c>
      <c r="B29" s="27" t="s">
        <v>69</v>
      </c>
      <c r="C29" s="28">
        <v>3.1</v>
      </c>
      <c r="D29">
        <f t="shared" si="1"/>
        <v>1000000</v>
      </c>
      <c r="E29">
        <v>7</v>
      </c>
      <c r="F29" s="26"/>
    </row>
    <row r="30" spans="1:6" x14ac:dyDescent="0.3">
      <c r="A30" s="27" t="s">
        <v>5</v>
      </c>
      <c r="B30" s="27" t="s">
        <v>69</v>
      </c>
      <c r="C30" s="28">
        <v>3.1</v>
      </c>
      <c r="D30">
        <f t="shared" si="1"/>
        <v>1000000</v>
      </c>
      <c r="E30">
        <v>7</v>
      </c>
      <c r="F30" s="26"/>
    </row>
    <row r="31" spans="1:6" x14ac:dyDescent="0.3">
      <c r="A31" s="27" t="s">
        <v>5</v>
      </c>
      <c r="B31" s="27" t="s">
        <v>327</v>
      </c>
      <c r="C31" s="28">
        <v>4.0999999999999996</v>
      </c>
      <c r="D31">
        <f t="shared" si="1"/>
        <v>1000000</v>
      </c>
      <c r="E31">
        <v>7</v>
      </c>
      <c r="F31" s="26"/>
    </row>
    <row r="32" spans="1:6" x14ac:dyDescent="0.3">
      <c r="A32" s="27" t="s">
        <v>5</v>
      </c>
      <c r="B32" s="27" t="s">
        <v>327</v>
      </c>
      <c r="C32" s="28">
        <v>4.0999999999999996</v>
      </c>
      <c r="D32">
        <f t="shared" si="1"/>
        <v>1000000</v>
      </c>
      <c r="E32">
        <v>7</v>
      </c>
      <c r="F32" s="26"/>
    </row>
    <row r="33" spans="1:6" x14ac:dyDescent="0.3">
      <c r="A33" s="27" t="s">
        <v>5</v>
      </c>
      <c r="B33" s="27" t="s">
        <v>68</v>
      </c>
      <c r="C33" s="28">
        <v>6.5</v>
      </c>
      <c r="D33">
        <f t="shared" si="1"/>
        <v>1000000</v>
      </c>
      <c r="E33">
        <v>7</v>
      </c>
      <c r="F33" s="26"/>
    </row>
    <row r="34" spans="1:6" x14ac:dyDescent="0.3">
      <c r="A34" s="27" t="s">
        <v>5</v>
      </c>
      <c r="B34" s="27" t="s">
        <v>68</v>
      </c>
      <c r="C34" s="28">
        <v>6.5</v>
      </c>
      <c r="D34">
        <f t="shared" si="1"/>
        <v>1000000</v>
      </c>
      <c r="E34">
        <v>7</v>
      </c>
      <c r="F34" s="26"/>
    </row>
    <row r="35" spans="1:6" x14ac:dyDescent="0.3">
      <c r="A35" s="27" t="s">
        <v>5</v>
      </c>
      <c r="B35" s="27" t="s">
        <v>68</v>
      </c>
      <c r="C35" s="28">
        <v>6.5</v>
      </c>
      <c r="D35">
        <f t="shared" si="1"/>
        <v>1000000</v>
      </c>
      <c r="E35">
        <v>7</v>
      </c>
      <c r="F35" s="26"/>
    </row>
    <row r="36" spans="1:6" x14ac:dyDescent="0.3">
      <c r="A36" s="27" t="s">
        <v>5</v>
      </c>
      <c r="B36" s="27" t="s">
        <v>68</v>
      </c>
      <c r="C36" s="28">
        <v>6.5</v>
      </c>
      <c r="D36">
        <f t="shared" si="1"/>
        <v>1000000</v>
      </c>
      <c r="E36">
        <v>7</v>
      </c>
      <c r="F36" s="26"/>
    </row>
    <row r="37" spans="1:6" x14ac:dyDescent="0.3">
      <c r="A37" s="27" t="s">
        <v>4</v>
      </c>
      <c r="B37" s="27" t="s">
        <v>72</v>
      </c>
      <c r="C37" s="28">
        <v>2.37</v>
      </c>
      <c r="D37">
        <f t="shared" si="1"/>
        <v>1000000</v>
      </c>
      <c r="E37">
        <v>8</v>
      </c>
      <c r="F37" s="26"/>
    </row>
    <row r="38" spans="1:6" x14ac:dyDescent="0.3">
      <c r="A38" s="27" t="s">
        <v>4</v>
      </c>
      <c r="B38" s="27" t="s">
        <v>71</v>
      </c>
      <c r="C38" s="28">
        <v>2.37</v>
      </c>
      <c r="D38">
        <f t="shared" si="1"/>
        <v>1000000</v>
      </c>
      <c r="E38">
        <v>8</v>
      </c>
      <c r="F38" s="26"/>
    </row>
    <row r="39" spans="1:6" x14ac:dyDescent="0.3">
      <c r="A39" s="27" t="s">
        <v>4</v>
      </c>
      <c r="B39" s="27" t="s">
        <v>328</v>
      </c>
      <c r="C39" s="28">
        <v>8.1</v>
      </c>
      <c r="D39">
        <f t="shared" si="1"/>
        <v>1000000</v>
      </c>
      <c r="E39">
        <v>8</v>
      </c>
      <c r="F39" s="26"/>
    </row>
    <row r="40" spans="1:6" x14ac:dyDescent="0.3">
      <c r="A40" s="27" t="s">
        <v>4</v>
      </c>
      <c r="B40" s="27" t="s">
        <v>71</v>
      </c>
      <c r="C40" s="28">
        <v>9.1</v>
      </c>
      <c r="D40">
        <f t="shared" si="1"/>
        <v>1000000</v>
      </c>
      <c r="E40">
        <v>8</v>
      </c>
      <c r="F40" s="26"/>
    </row>
    <row r="41" spans="1:6" x14ac:dyDescent="0.3">
      <c r="A41" s="27" t="s">
        <v>4</v>
      </c>
      <c r="B41" s="27" t="s">
        <v>72</v>
      </c>
      <c r="C41" s="28">
        <v>9.1</v>
      </c>
      <c r="D41">
        <f t="shared" si="1"/>
        <v>1000000</v>
      </c>
      <c r="E41">
        <v>8</v>
      </c>
      <c r="F41" s="26"/>
    </row>
    <row r="42" spans="1:6" x14ac:dyDescent="0.3">
      <c r="A42" s="37" t="s">
        <v>289</v>
      </c>
      <c r="B42" s="37" t="s">
        <v>302</v>
      </c>
      <c r="C42" s="28">
        <v>4.3</v>
      </c>
      <c r="D42">
        <f t="shared" si="1"/>
        <v>1000000</v>
      </c>
      <c r="E42">
        <v>9</v>
      </c>
      <c r="F42" s="26"/>
    </row>
    <row r="43" spans="1:6" x14ac:dyDescent="0.3">
      <c r="A43" s="37" t="s">
        <v>289</v>
      </c>
      <c r="B43" s="37" t="s">
        <v>303</v>
      </c>
      <c r="C43" s="28">
        <v>4.3</v>
      </c>
      <c r="D43">
        <f t="shared" si="1"/>
        <v>1000000</v>
      </c>
      <c r="E43">
        <v>9</v>
      </c>
      <c r="F43" s="26"/>
    </row>
    <row r="44" spans="1:6" x14ac:dyDescent="0.3">
      <c r="A44" s="37" t="s">
        <v>289</v>
      </c>
      <c r="B44" s="37" t="s">
        <v>290</v>
      </c>
      <c r="C44" s="28">
        <v>4.3</v>
      </c>
      <c r="D44">
        <f t="shared" si="1"/>
        <v>1000000</v>
      </c>
      <c r="E44">
        <v>9</v>
      </c>
      <c r="F44" s="26"/>
    </row>
    <row r="45" spans="1:6" x14ac:dyDescent="0.3">
      <c r="A45" s="27" t="s">
        <v>329</v>
      </c>
      <c r="B45" s="27" t="s">
        <v>331</v>
      </c>
      <c r="C45" s="28">
        <v>2.8</v>
      </c>
      <c r="D45">
        <f t="shared" si="1"/>
        <v>1000000</v>
      </c>
      <c r="E45">
        <v>10</v>
      </c>
      <c r="F45" s="26"/>
    </row>
    <row r="46" spans="1:6" x14ac:dyDescent="0.3">
      <c r="A46" s="27" t="s">
        <v>329</v>
      </c>
      <c r="B46" s="27" t="s">
        <v>331</v>
      </c>
      <c r="C46" s="28">
        <v>2.8</v>
      </c>
      <c r="D46">
        <f t="shared" si="1"/>
        <v>1000000</v>
      </c>
      <c r="E46">
        <v>10</v>
      </c>
      <c r="F46" s="26"/>
    </row>
    <row r="47" spans="1:6" x14ac:dyDescent="0.3">
      <c r="A47" s="27" t="s">
        <v>329</v>
      </c>
      <c r="B47" s="27" t="s">
        <v>332</v>
      </c>
      <c r="C47" s="28">
        <v>3.1</v>
      </c>
      <c r="D47">
        <f t="shared" si="1"/>
        <v>1000000</v>
      </c>
      <c r="E47">
        <v>10</v>
      </c>
      <c r="F47" s="26"/>
    </row>
    <row r="48" spans="1:6" x14ac:dyDescent="0.3">
      <c r="A48" s="27" t="s">
        <v>329</v>
      </c>
      <c r="B48" s="27" t="s">
        <v>333</v>
      </c>
      <c r="C48" s="28">
        <v>3.1</v>
      </c>
      <c r="D48">
        <f t="shared" si="1"/>
        <v>1000000</v>
      </c>
      <c r="E48">
        <v>10</v>
      </c>
      <c r="F48" s="26"/>
    </row>
    <row r="49" spans="1:6" x14ac:dyDescent="0.3">
      <c r="A49" s="27" t="s">
        <v>329</v>
      </c>
      <c r="B49" s="27" t="s">
        <v>332</v>
      </c>
      <c r="C49" s="28">
        <v>3.1</v>
      </c>
      <c r="D49">
        <f t="shared" si="1"/>
        <v>1000000</v>
      </c>
      <c r="E49">
        <v>10</v>
      </c>
      <c r="F49" s="26"/>
    </row>
    <row r="50" spans="1:6" x14ac:dyDescent="0.3">
      <c r="A50" s="27" t="s">
        <v>329</v>
      </c>
      <c r="B50" s="27" t="s">
        <v>330</v>
      </c>
      <c r="C50" s="28">
        <v>6.5</v>
      </c>
      <c r="D50">
        <f t="shared" si="1"/>
        <v>1000000</v>
      </c>
      <c r="E50">
        <v>10</v>
      </c>
      <c r="F50" s="26"/>
    </row>
    <row r="51" spans="1:6" x14ac:dyDescent="0.3">
      <c r="A51" s="27" t="s">
        <v>329</v>
      </c>
      <c r="B51" s="27" t="s">
        <v>330</v>
      </c>
      <c r="C51" s="28">
        <v>6.5</v>
      </c>
      <c r="D51">
        <f t="shared" si="1"/>
        <v>1000000</v>
      </c>
      <c r="E51">
        <v>10</v>
      </c>
      <c r="F51" s="26"/>
    </row>
    <row r="52" spans="1:6" x14ac:dyDescent="0.3">
      <c r="A52" s="27" t="s">
        <v>6</v>
      </c>
      <c r="B52" s="27" t="s">
        <v>75</v>
      </c>
      <c r="C52" s="28">
        <v>2.4</v>
      </c>
      <c r="D52">
        <f t="shared" si="1"/>
        <v>999999999</v>
      </c>
      <c r="E52">
        <v>11</v>
      </c>
      <c r="F52" s="26" t="s">
        <v>577</v>
      </c>
    </row>
    <row r="53" spans="1:6" x14ac:dyDescent="0.3">
      <c r="A53" s="27" t="s">
        <v>6</v>
      </c>
      <c r="B53" s="27" t="s">
        <v>76</v>
      </c>
      <c r="C53" s="28">
        <v>2.7</v>
      </c>
      <c r="D53">
        <f t="shared" si="1"/>
        <v>999999999</v>
      </c>
      <c r="E53">
        <v>11</v>
      </c>
      <c r="F53" s="26" t="s">
        <v>577</v>
      </c>
    </row>
    <row r="54" spans="1:6" x14ac:dyDescent="0.3">
      <c r="A54" s="27" t="s">
        <v>6</v>
      </c>
      <c r="B54" s="27" t="s">
        <v>73</v>
      </c>
      <c r="C54" s="28">
        <v>5.3</v>
      </c>
      <c r="D54">
        <f t="shared" si="1"/>
        <v>999999999</v>
      </c>
      <c r="E54">
        <v>11</v>
      </c>
      <c r="F54" s="26" t="s">
        <v>577</v>
      </c>
    </row>
    <row r="55" spans="1:6" x14ac:dyDescent="0.3">
      <c r="A55" s="27" t="s">
        <v>6</v>
      </c>
      <c r="B55" s="27" t="s">
        <v>74</v>
      </c>
      <c r="C55" s="28">
        <v>6.4</v>
      </c>
      <c r="D55">
        <f t="shared" si="1"/>
        <v>999999999</v>
      </c>
      <c r="E55">
        <v>11</v>
      </c>
      <c r="F55" s="26" t="s">
        <v>577</v>
      </c>
    </row>
    <row r="56" spans="1:6" x14ac:dyDescent="0.3">
      <c r="A56" s="27" t="s">
        <v>7</v>
      </c>
      <c r="B56" s="27" t="s">
        <v>77</v>
      </c>
      <c r="C56" s="28">
        <v>9.1999999999999993</v>
      </c>
      <c r="D56">
        <f t="shared" si="1"/>
        <v>999999999</v>
      </c>
      <c r="E56">
        <v>12</v>
      </c>
      <c r="F56" s="26" t="s">
        <v>577</v>
      </c>
    </row>
    <row r="57" spans="1:6" x14ac:dyDescent="0.3">
      <c r="A57" s="27" t="s">
        <v>7</v>
      </c>
      <c r="B57" s="27" t="s">
        <v>78</v>
      </c>
      <c r="C57" s="28">
        <v>9.1999999999999993</v>
      </c>
      <c r="D57">
        <f t="shared" si="1"/>
        <v>999999999</v>
      </c>
      <c r="E57">
        <v>12</v>
      </c>
      <c r="F57" s="26" t="s">
        <v>577</v>
      </c>
    </row>
    <row r="58" spans="1:6" x14ac:dyDescent="0.3">
      <c r="A58" s="27" t="s">
        <v>7</v>
      </c>
      <c r="B58" s="27" t="s">
        <v>334</v>
      </c>
      <c r="C58" s="28">
        <v>9.1999999999999993</v>
      </c>
      <c r="D58">
        <f t="shared" si="1"/>
        <v>999999999</v>
      </c>
      <c r="E58">
        <v>12</v>
      </c>
      <c r="F58" s="26" t="s">
        <v>577</v>
      </c>
    </row>
    <row r="59" spans="1:6" x14ac:dyDescent="0.3">
      <c r="A59" s="27" t="s">
        <v>7</v>
      </c>
      <c r="B59" s="27" t="s">
        <v>335</v>
      </c>
      <c r="C59" s="28">
        <v>9.1999999999999993</v>
      </c>
      <c r="D59">
        <f t="shared" si="1"/>
        <v>999999999</v>
      </c>
      <c r="E59">
        <v>12</v>
      </c>
      <c r="F59" s="26" t="s">
        <v>577</v>
      </c>
    </row>
    <row r="60" spans="1:6" x14ac:dyDescent="0.3">
      <c r="A60" s="37" t="s">
        <v>291</v>
      </c>
      <c r="B60" s="37" t="s">
        <v>292</v>
      </c>
      <c r="C60" s="28">
        <v>9.1999999999999993</v>
      </c>
      <c r="D60">
        <f t="shared" si="1"/>
        <v>999999999</v>
      </c>
      <c r="E60">
        <v>13</v>
      </c>
      <c r="F60" s="26" t="s">
        <v>577</v>
      </c>
    </row>
    <row r="61" spans="1:6" x14ac:dyDescent="0.3">
      <c r="A61" s="37" t="s">
        <v>291</v>
      </c>
      <c r="B61" s="37" t="s">
        <v>293</v>
      </c>
      <c r="C61" s="28">
        <v>9.1999999999999993</v>
      </c>
      <c r="D61">
        <f t="shared" si="1"/>
        <v>999999999</v>
      </c>
      <c r="E61">
        <v>13</v>
      </c>
      <c r="F61" s="26" t="s">
        <v>577</v>
      </c>
    </row>
    <row r="62" spans="1:6" x14ac:dyDescent="0.3">
      <c r="A62" s="37" t="s">
        <v>291</v>
      </c>
      <c r="B62" s="37" t="s">
        <v>464</v>
      </c>
      <c r="C62" s="28">
        <v>9.1999999999999993</v>
      </c>
      <c r="D62">
        <f t="shared" si="1"/>
        <v>999999999</v>
      </c>
      <c r="E62">
        <v>13</v>
      </c>
      <c r="F62" s="26" t="s">
        <v>577</v>
      </c>
    </row>
    <row r="63" spans="1:6" x14ac:dyDescent="0.3">
      <c r="A63" s="37" t="s">
        <v>291</v>
      </c>
      <c r="B63" s="37" t="s">
        <v>465</v>
      </c>
      <c r="C63" s="28">
        <v>9.1999999999999993</v>
      </c>
      <c r="D63">
        <f t="shared" si="1"/>
        <v>999999999</v>
      </c>
      <c r="E63">
        <v>13</v>
      </c>
      <c r="F63" s="26" t="s">
        <v>577</v>
      </c>
    </row>
    <row r="64" spans="1:6" x14ac:dyDescent="0.3">
      <c r="A64" s="27" t="s">
        <v>8</v>
      </c>
      <c r="B64" s="27" t="s">
        <v>79</v>
      </c>
      <c r="C64" s="28">
        <v>2.5</v>
      </c>
      <c r="D64">
        <f t="shared" si="1"/>
        <v>999999999</v>
      </c>
      <c r="E64">
        <v>14</v>
      </c>
      <c r="F64" s="26" t="s">
        <v>577</v>
      </c>
    </row>
    <row r="65" spans="1:6" x14ac:dyDescent="0.3">
      <c r="A65" s="27" t="s">
        <v>8</v>
      </c>
      <c r="B65" s="27" t="s">
        <v>79</v>
      </c>
      <c r="C65" s="28">
        <v>2.5</v>
      </c>
      <c r="D65">
        <f t="shared" si="1"/>
        <v>999999999</v>
      </c>
      <c r="E65">
        <v>14</v>
      </c>
      <c r="F65" s="26" t="s">
        <v>577</v>
      </c>
    </row>
    <row r="66" spans="1:6" x14ac:dyDescent="0.3">
      <c r="A66" s="27" t="s">
        <v>8</v>
      </c>
      <c r="B66" s="27" t="s">
        <v>80</v>
      </c>
      <c r="C66" s="28">
        <v>2.7</v>
      </c>
      <c r="D66">
        <f t="shared" si="1"/>
        <v>999999999</v>
      </c>
      <c r="E66">
        <v>14</v>
      </c>
      <c r="F66" s="26" t="s">
        <v>577</v>
      </c>
    </row>
    <row r="67" spans="1:6" x14ac:dyDescent="0.3">
      <c r="A67" s="27" t="s">
        <v>8</v>
      </c>
      <c r="B67" s="27" t="s">
        <v>80</v>
      </c>
      <c r="C67" s="28">
        <v>2.7</v>
      </c>
      <c r="D67">
        <f t="shared" si="1"/>
        <v>999999999</v>
      </c>
      <c r="E67">
        <v>14</v>
      </c>
      <c r="F67" s="26" t="s">
        <v>577</v>
      </c>
    </row>
    <row r="68" spans="1:6" x14ac:dyDescent="0.3">
      <c r="A68" s="27" t="s">
        <v>8</v>
      </c>
      <c r="B68" s="27" t="s">
        <v>80</v>
      </c>
      <c r="C68" s="28">
        <v>2.7</v>
      </c>
      <c r="D68">
        <f t="shared" si="1"/>
        <v>999999999</v>
      </c>
      <c r="E68">
        <v>14</v>
      </c>
      <c r="F68" s="26" t="s">
        <v>577</v>
      </c>
    </row>
    <row r="69" spans="1:6" x14ac:dyDescent="0.3">
      <c r="A69" s="27" t="s">
        <v>8</v>
      </c>
      <c r="B69" s="27" t="s">
        <v>340</v>
      </c>
      <c r="C69" s="28">
        <v>3.1</v>
      </c>
      <c r="D69">
        <f t="shared" si="1"/>
        <v>999999999</v>
      </c>
      <c r="E69">
        <v>14</v>
      </c>
      <c r="F69" s="26" t="s">
        <v>577</v>
      </c>
    </row>
    <row r="70" spans="1:6" x14ac:dyDescent="0.3">
      <c r="A70" s="27" t="s">
        <v>8</v>
      </c>
      <c r="B70" s="27" t="s">
        <v>338</v>
      </c>
      <c r="C70" s="28">
        <v>3.5</v>
      </c>
      <c r="D70">
        <f t="shared" si="1"/>
        <v>999999999</v>
      </c>
      <c r="E70">
        <v>14</v>
      </c>
      <c r="F70" s="26" t="s">
        <v>577</v>
      </c>
    </row>
    <row r="71" spans="1:6" x14ac:dyDescent="0.3">
      <c r="A71" s="27" t="s">
        <v>8</v>
      </c>
      <c r="B71" s="27" t="s">
        <v>339</v>
      </c>
      <c r="C71" s="28">
        <v>3.8</v>
      </c>
      <c r="D71">
        <f t="shared" si="1"/>
        <v>999999999</v>
      </c>
      <c r="E71">
        <v>14</v>
      </c>
      <c r="F71" s="26" t="s">
        <v>577</v>
      </c>
    </row>
    <row r="72" spans="1:6" x14ac:dyDescent="0.3">
      <c r="A72" s="27" t="s">
        <v>8</v>
      </c>
      <c r="B72" s="27" t="s">
        <v>82</v>
      </c>
      <c r="C72" s="28">
        <v>3.8</v>
      </c>
      <c r="D72">
        <f t="shared" si="1"/>
        <v>999999999</v>
      </c>
      <c r="E72">
        <v>14</v>
      </c>
      <c r="F72" s="26" t="s">
        <v>577</v>
      </c>
    </row>
    <row r="73" spans="1:6" x14ac:dyDescent="0.3">
      <c r="A73" s="27" t="s">
        <v>8</v>
      </c>
      <c r="B73" s="27" t="s">
        <v>337</v>
      </c>
      <c r="C73" s="28">
        <v>4.5</v>
      </c>
      <c r="D73">
        <f t="shared" ref="D73:D136" si="2">IF(F73="Sabit",999999999,1000000)</f>
        <v>999999999</v>
      </c>
      <c r="E73">
        <v>14</v>
      </c>
      <c r="F73" s="26" t="s">
        <v>577</v>
      </c>
    </row>
    <row r="74" spans="1:6" x14ac:dyDescent="0.3">
      <c r="A74" s="27" t="s">
        <v>8</v>
      </c>
      <c r="B74" s="27" t="s">
        <v>341</v>
      </c>
      <c r="C74" s="28">
        <v>4.5</v>
      </c>
      <c r="D74">
        <f t="shared" si="2"/>
        <v>999999999</v>
      </c>
      <c r="E74">
        <v>14</v>
      </c>
      <c r="F74" s="26" t="s">
        <v>577</v>
      </c>
    </row>
    <row r="75" spans="1:6" x14ac:dyDescent="0.3">
      <c r="A75" s="27" t="s">
        <v>8</v>
      </c>
      <c r="B75" s="27" t="s">
        <v>81</v>
      </c>
      <c r="C75" s="28">
        <v>5.5</v>
      </c>
      <c r="D75">
        <f t="shared" si="2"/>
        <v>999999999</v>
      </c>
      <c r="E75">
        <v>14</v>
      </c>
      <c r="F75" s="26" t="s">
        <v>577</v>
      </c>
    </row>
    <row r="76" spans="1:6" x14ac:dyDescent="0.3">
      <c r="A76" s="27" t="s">
        <v>8</v>
      </c>
      <c r="B76" s="27" t="s">
        <v>81</v>
      </c>
      <c r="C76" s="28">
        <v>5.5</v>
      </c>
      <c r="D76">
        <f t="shared" si="2"/>
        <v>999999999</v>
      </c>
      <c r="E76">
        <v>14</v>
      </c>
      <c r="F76" s="26" t="s">
        <v>577</v>
      </c>
    </row>
    <row r="77" spans="1:6" x14ac:dyDescent="0.3">
      <c r="A77" s="27" t="s">
        <v>8</v>
      </c>
      <c r="B77" s="27" t="s">
        <v>336</v>
      </c>
      <c r="C77" s="28">
        <v>5.6</v>
      </c>
      <c r="D77">
        <f t="shared" si="2"/>
        <v>999999999</v>
      </c>
      <c r="E77">
        <v>14</v>
      </c>
      <c r="F77" s="26" t="s">
        <v>577</v>
      </c>
    </row>
    <row r="78" spans="1:6" x14ac:dyDescent="0.3">
      <c r="A78" s="27" t="s">
        <v>342</v>
      </c>
      <c r="B78" s="27" t="s">
        <v>347</v>
      </c>
      <c r="C78" s="28">
        <v>2.8</v>
      </c>
      <c r="D78">
        <f t="shared" si="2"/>
        <v>1000000</v>
      </c>
      <c r="E78">
        <v>15</v>
      </c>
      <c r="F78" s="26"/>
    </row>
    <row r="79" spans="1:6" x14ac:dyDescent="0.3">
      <c r="A79" s="27" t="s">
        <v>342</v>
      </c>
      <c r="B79" s="27" t="s">
        <v>344</v>
      </c>
      <c r="C79" s="28">
        <v>3.8</v>
      </c>
      <c r="D79">
        <f t="shared" si="2"/>
        <v>1000000</v>
      </c>
      <c r="E79">
        <v>15</v>
      </c>
      <c r="F79" s="26"/>
    </row>
    <row r="80" spans="1:6" x14ac:dyDescent="0.3">
      <c r="A80" s="27" t="s">
        <v>342</v>
      </c>
      <c r="B80" s="27" t="s">
        <v>344</v>
      </c>
      <c r="C80" s="28">
        <v>3.8</v>
      </c>
      <c r="D80">
        <f t="shared" si="2"/>
        <v>1000000</v>
      </c>
      <c r="E80">
        <v>15</v>
      </c>
      <c r="F80" s="26"/>
    </row>
    <row r="81" spans="1:6" x14ac:dyDescent="0.3">
      <c r="A81" s="27" t="s">
        <v>342</v>
      </c>
      <c r="B81" s="27" t="s">
        <v>343</v>
      </c>
      <c r="C81" s="28">
        <v>4.5999999999999996</v>
      </c>
      <c r="D81">
        <f t="shared" si="2"/>
        <v>1000000</v>
      </c>
      <c r="E81">
        <v>15</v>
      </c>
      <c r="F81" s="26"/>
    </row>
    <row r="82" spans="1:6" x14ac:dyDescent="0.3">
      <c r="A82" s="27" t="s">
        <v>342</v>
      </c>
      <c r="B82" s="27" t="s">
        <v>343</v>
      </c>
      <c r="C82" s="28">
        <v>4.5999999999999996</v>
      </c>
      <c r="D82">
        <f t="shared" si="2"/>
        <v>1000000</v>
      </c>
      <c r="E82">
        <v>15</v>
      </c>
      <c r="F82" s="26"/>
    </row>
    <row r="83" spans="1:6" x14ac:dyDescent="0.3">
      <c r="A83" s="27" t="s">
        <v>342</v>
      </c>
      <c r="B83" s="27" t="s">
        <v>346</v>
      </c>
      <c r="C83" s="28">
        <v>5.8</v>
      </c>
      <c r="D83">
        <f t="shared" si="2"/>
        <v>1000000</v>
      </c>
      <c r="E83">
        <v>15</v>
      </c>
      <c r="F83" s="26"/>
    </row>
    <row r="84" spans="1:6" x14ac:dyDescent="0.3">
      <c r="A84" s="27" t="s">
        <v>342</v>
      </c>
      <c r="B84" s="27" t="s">
        <v>345</v>
      </c>
      <c r="C84" s="28">
        <v>8.8000000000000007</v>
      </c>
      <c r="D84">
        <f t="shared" si="2"/>
        <v>1000000</v>
      </c>
      <c r="E84">
        <v>15</v>
      </c>
      <c r="F84" s="26"/>
    </row>
    <row r="85" spans="1:6" x14ac:dyDescent="0.3">
      <c r="A85" s="27" t="s">
        <v>9</v>
      </c>
      <c r="B85" s="27" t="s">
        <v>83</v>
      </c>
      <c r="C85" s="28">
        <v>3.9</v>
      </c>
      <c r="D85">
        <f t="shared" si="2"/>
        <v>1000000</v>
      </c>
      <c r="E85">
        <v>16</v>
      </c>
      <c r="F85" s="26"/>
    </row>
    <row r="86" spans="1:6" x14ac:dyDescent="0.3">
      <c r="A86" s="27" t="s">
        <v>9</v>
      </c>
      <c r="B86" s="27" t="s">
        <v>84</v>
      </c>
      <c r="C86" s="28">
        <v>5.5</v>
      </c>
      <c r="D86">
        <f t="shared" si="2"/>
        <v>1000000</v>
      </c>
      <c r="E86">
        <v>16</v>
      </c>
      <c r="F86" s="26"/>
    </row>
    <row r="87" spans="1:6" x14ac:dyDescent="0.3">
      <c r="A87" s="27" t="s">
        <v>9</v>
      </c>
      <c r="B87" s="27" t="s">
        <v>85</v>
      </c>
      <c r="C87" s="28">
        <v>7.2</v>
      </c>
      <c r="D87">
        <f t="shared" si="2"/>
        <v>1000000</v>
      </c>
      <c r="E87">
        <v>16</v>
      </c>
      <c r="F87" s="26"/>
    </row>
    <row r="88" spans="1:6" x14ac:dyDescent="0.3">
      <c r="A88" s="27" t="s">
        <v>13</v>
      </c>
      <c r="B88" s="27" t="s">
        <v>86</v>
      </c>
      <c r="C88" s="28">
        <v>11.5</v>
      </c>
      <c r="D88">
        <f t="shared" si="2"/>
        <v>1000000</v>
      </c>
      <c r="E88">
        <v>17</v>
      </c>
      <c r="F88" s="26"/>
    </row>
    <row r="89" spans="1:6" x14ac:dyDescent="0.3">
      <c r="A89" s="27" t="s">
        <v>14</v>
      </c>
      <c r="B89" s="27" t="s">
        <v>88</v>
      </c>
      <c r="C89" s="28">
        <v>3.1</v>
      </c>
      <c r="D89">
        <f t="shared" si="2"/>
        <v>1000000</v>
      </c>
      <c r="E89">
        <v>18</v>
      </c>
      <c r="F89" s="26"/>
    </row>
    <row r="90" spans="1:6" x14ac:dyDescent="0.3">
      <c r="A90" s="27" t="s">
        <v>14</v>
      </c>
      <c r="B90" s="27" t="s">
        <v>87</v>
      </c>
      <c r="C90" s="28">
        <v>6.2</v>
      </c>
      <c r="D90">
        <f t="shared" si="2"/>
        <v>1000000</v>
      </c>
      <c r="E90">
        <v>18</v>
      </c>
      <c r="F90" s="26"/>
    </row>
    <row r="91" spans="1:6" x14ac:dyDescent="0.3">
      <c r="A91" s="27" t="s">
        <v>12</v>
      </c>
      <c r="B91" s="27" t="s">
        <v>89</v>
      </c>
      <c r="C91" s="28">
        <v>3.2</v>
      </c>
      <c r="D91">
        <f t="shared" si="2"/>
        <v>999999999</v>
      </c>
      <c r="E91">
        <v>19</v>
      </c>
      <c r="F91" s="26" t="s">
        <v>577</v>
      </c>
    </row>
    <row r="92" spans="1:6" x14ac:dyDescent="0.3">
      <c r="A92" s="27" t="s">
        <v>12</v>
      </c>
      <c r="B92" s="27" t="s">
        <v>91</v>
      </c>
      <c r="C92" s="28">
        <v>5</v>
      </c>
      <c r="D92">
        <f t="shared" si="2"/>
        <v>999999999</v>
      </c>
      <c r="E92">
        <v>19</v>
      </c>
      <c r="F92" s="26" t="s">
        <v>577</v>
      </c>
    </row>
    <row r="93" spans="1:6" x14ac:dyDescent="0.3">
      <c r="A93" s="27" t="s">
        <v>12</v>
      </c>
      <c r="B93" s="27" t="s">
        <v>90</v>
      </c>
      <c r="C93" s="28">
        <v>5.5</v>
      </c>
      <c r="D93">
        <f t="shared" si="2"/>
        <v>999999999</v>
      </c>
      <c r="E93">
        <v>19</v>
      </c>
      <c r="F93" s="26" t="s">
        <v>577</v>
      </c>
    </row>
    <row r="94" spans="1:6" x14ac:dyDescent="0.3">
      <c r="A94" s="27" t="s">
        <v>11</v>
      </c>
      <c r="B94" s="27" t="s">
        <v>93</v>
      </c>
      <c r="C94" s="28">
        <v>3.1</v>
      </c>
      <c r="D94">
        <f t="shared" si="2"/>
        <v>999999999</v>
      </c>
      <c r="E94">
        <v>20</v>
      </c>
      <c r="F94" s="26" t="s">
        <v>577</v>
      </c>
    </row>
    <row r="95" spans="1:6" x14ac:dyDescent="0.3">
      <c r="A95" s="27" t="s">
        <v>11</v>
      </c>
      <c r="B95" s="27" t="s">
        <v>95</v>
      </c>
      <c r="C95" s="28">
        <v>3.8</v>
      </c>
      <c r="D95">
        <f t="shared" si="2"/>
        <v>999999999</v>
      </c>
      <c r="E95">
        <v>20</v>
      </c>
      <c r="F95" s="26" t="s">
        <v>577</v>
      </c>
    </row>
    <row r="96" spans="1:6" x14ac:dyDescent="0.3">
      <c r="A96" s="27" t="s">
        <v>11</v>
      </c>
      <c r="B96" s="27" t="s">
        <v>92</v>
      </c>
      <c r="C96" s="28">
        <v>6</v>
      </c>
      <c r="D96">
        <f t="shared" si="2"/>
        <v>999999999</v>
      </c>
      <c r="E96">
        <v>20</v>
      </c>
      <c r="F96" s="26" t="s">
        <v>577</v>
      </c>
    </row>
    <row r="97" spans="1:6" x14ac:dyDescent="0.3">
      <c r="A97" s="27" t="s">
        <v>11</v>
      </c>
      <c r="B97" s="27" t="s">
        <v>92</v>
      </c>
      <c r="C97" s="28">
        <v>6</v>
      </c>
      <c r="D97">
        <f t="shared" si="2"/>
        <v>999999999</v>
      </c>
      <c r="E97">
        <v>20</v>
      </c>
      <c r="F97" s="26" t="s">
        <v>577</v>
      </c>
    </row>
    <row r="98" spans="1:6" x14ac:dyDescent="0.3">
      <c r="A98" s="27" t="s">
        <v>11</v>
      </c>
      <c r="B98" s="27" t="s">
        <v>94</v>
      </c>
      <c r="C98" s="28">
        <v>8.1</v>
      </c>
      <c r="D98">
        <f t="shared" si="2"/>
        <v>999999999</v>
      </c>
      <c r="E98">
        <v>20</v>
      </c>
      <c r="F98" s="26" t="s">
        <v>577</v>
      </c>
    </row>
    <row r="99" spans="1:6" x14ac:dyDescent="0.3">
      <c r="A99" s="27" t="s">
        <v>10</v>
      </c>
      <c r="B99" s="27" t="s">
        <v>350</v>
      </c>
      <c r="C99" s="28">
        <v>2.8</v>
      </c>
      <c r="D99">
        <f t="shared" si="2"/>
        <v>999999999</v>
      </c>
      <c r="E99">
        <v>21</v>
      </c>
      <c r="F99" s="26" t="s">
        <v>577</v>
      </c>
    </row>
    <row r="100" spans="1:6" x14ac:dyDescent="0.3">
      <c r="A100" s="27" t="s">
        <v>10</v>
      </c>
      <c r="B100" s="27" t="s">
        <v>96</v>
      </c>
      <c r="C100" s="28">
        <v>3.1</v>
      </c>
      <c r="D100">
        <f t="shared" si="2"/>
        <v>999999999</v>
      </c>
      <c r="E100">
        <v>21</v>
      </c>
      <c r="F100" s="26" t="s">
        <v>577</v>
      </c>
    </row>
    <row r="101" spans="1:6" x14ac:dyDescent="0.3">
      <c r="A101" s="27" t="s">
        <v>10</v>
      </c>
      <c r="B101" s="27" t="s">
        <v>97</v>
      </c>
      <c r="C101" s="28">
        <v>3.1</v>
      </c>
      <c r="D101">
        <f t="shared" si="2"/>
        <v>999999999</v>
      </c>
      <c r="E101">
        <v>21</v>
      </c>
      <c r="F101" s="26" t="s">
        <v>577</v>
      </c>
    </row>
    <row r="102" spans="1:6" x14ac:dyDescent="0.3">
      <c r="A102" s="27" t="s">
        <v>10</v>
      </c>
      <c r="B102" s="27" t="s">
        <v>97</v>
      </c>
      <c r="C102" s="28">
        <v>3.1</v>
      </c>
      <c r="D102">
        <f t="shared" si="2"/>
        <v>999999999</v>
      </c>
      <c r="E102">
        <v>21</v>
      </c>
      <c r="F102" s="26" t="s">
        <v>577</v>
      </c>
    </row>
    <row r="103" spans="1:6" x14ac:dyDescent="0.3">
      <c r="A103" s="27" t="s">
        <v>10</v>
      </c>
      <c r="B103" s="27" t="s">
        <v>348</v>
      </c>
      <c r="C103" s="28">
        <v>3.1</v>
      </c>
      <c r="D103">
        <f t="shared" si="2"/>
        <v>999999999</v>
      </c>
      <c r="E103">
        <v>21</v>
      </c>
      <c r="F103" s="26" t="s">
        <v>577</v>
      </c>
    </row>
    <row r="104" spans="1:6" x14ac:dyDescent="0.3">
      <c r="A104" s="27" t="s">
        <v>10</v>
      </c>
      <c r="B104" s="27" t="s">
        <v>348</v>
      </c>
      <c r="C104" s="28">
        <v>3.1</v>
      </c>
      <c r="D104">
        <f t="shared" si="2"/>
        <v>999999999</v>
      </c>
      <c r="E104">
        <v>21</v>
      </c>
      <c r="F104" s="26" t="s">
        <v>577</v>
      </c>
    </row>
    <row r="105" spans="1:6" x14ac:dyDescent="0.3">
      <c r="A105" s="27" t="s">
        <v>10</v>
      </c>
      <c r="B105" s="27" t="s">
        <v>96</v>
      </c>
      <c r="C105" s="28">
        <v>3.5</v>
      </c>
      <c r="D105">
        <f t="shared" si="2"/>
        <v>999999999</v>
      </c>
      <c r="E105">
        <v>21</v>
      </c>
      <c r="F105" s="26" t="s">
        <v>577</v>
      </c>
    </row>
    <row r="106" spans="1:6" x14ac:dyDescent="0.3">
      <c r="A106" s="27" t="s">
        <v>10</v>
      </c>
      <c r="B106" s="27" t="s">
        <v>349</v>
      </c>
      <c r="C106" s="28">
        <v>4.0999999999999996</v>
      </c>
      <c r="D106">
        <f t="shared" si="2"/>
        <v>999999999</v>
      </c>
      <c r="E106">
        <v>21</v>
      </c>
      <c r="F106" s="26" t="s">
        <v>577</v>
      </c>
    </row>
    <row r="107" spans="1:6" x14ac:dyDescent="0.3">
      <c r="A107" s="27" t="s">
        <v>10</v>
      </c>
      <c r="B107" s="27" t="s">
        <v>98</v>
      </c>
      <c r="C107" s="28">
        <v>15.8</v>
      </c>
      <c r="D107">
        <f t="shared" si="2"/>
        <v>999999999</v>
      </c>
      <c r="E107">
        <v>21</v>
      </c>
      <c r="F107" s="26" t="s">
        <v>577</v>
      </c>
    </row>
    <row r="108" spans="1:6" x14ac:dyDescent="0.3">
      <c r="A108" s="27" t="s">
        <v>15</v>
      </c>
      <c r="B108" s="27" t="s">
        <v>100</v>
      </c>
      <c r="C108" s="28">
        <v>1.8</v>
      </c>
      <c r="D108">
        <f t="shared" si="2"/>
        <v>999999999</v>
      </c>
      <c r="E108">
        <v>22</v>
      </c>
      <c r="F108" s="26" t="s">
        <v>577</v>
      </c>
    </row>
    <row r="109" spans="1:6" x14ac:dyDescent="0.3">
      <c r="A109" s="27" t="s">
        <v>15</v>
      </c>
      <c r="B109" s="27" t="s">
        <v>99</v>
      </c>
      <c r="C109" s="28">
        <v>2.1</v>
      </c>
      <c r="D109">
        <f t="shared" si="2"/>
        <v>999999999</v>
      </c>
      <c r="E109">
        <v>22</v>
      </c>
      <c r="F109" s="26" t="s">
        <v>577</v>
      </c>
    </row>
    <row r="110" spans="1:6" x14ac:dyDescent="0.3">
      <c r="A110" s="27" t="s">
        <v>15</v>
      </c>
      <c r="B110" s="27" t="s">
        <v>101</v>
      </c>
      <c r="C110" s="28">
        <v>3.2</v>
      </c>
      <c r="D110">
        <f t="shared" si="2"/>
        <v>999999999</v>
      </c>
      <c r="E110">
        <v>22</v>
      </c>
      <c r="F110" s="26" t="s">
        <v>577</v>
      </c>
    </row>
    <row r="111" spans="1:6" x14ac:dyDescent="0.3">
      <c r="A111" s="27" t="s">
        <v>15</v>
      </c>
      <c r="B111" s="27" t="s">
        <v>101</v>
      </c>
      <c r="C111" s="28">
        <v>3.2</v>
      </c>
      <c r="D111">
        <f t="shared" si="2"/>
        <v>999999999</v>
      </c>
      <c r="E111">
        <v>22</v>
      </c>
      <c r="F111" s="26" t="s">
        <v>577</v>
      </c>
    </row>
    <row r="112" spans="1:6" x14ac:dyDescent="0.3">
      <c r="A112" s="27" t="s">
        <v>15</v>
      </c>
      <c r="B112" s="27" t="s">
        <v>101</v>
      </c>
      <c r="C112" s="28">
        <v>3.2</v>
      </c>
      <c r="D112">
        <f t="shared" si="2"/>
        <v>999999999</v>
      </c>
      <c r="E112">
        <v>22</v>
      </c>
      <c r="F112" s="26" t="s">
        <v>577</v>
      </c>
    </row>
    <row r="113" spans="1:6" x14ac:dyDescent="0.3">
      <c r="A113" s="27" t="s">
        <v>16</v>
      </c>
      <c r="B113" s="27" t="s">
        <v>107</v>
      </c>
      <c r="C113" s="28">
        <v>2.8</v>
      </c>
      <c r="D113">
        <f t="shared" si="2"/>
        <v>1000000</v>
      </c>
      <c r="E113">
        <v>23</v>
      </c>
      <c r="F113" s="26"/>
    </row>
    <row r="114" spans="1:6" x14ac:dyDescent="0.3">
      <c r="A114" s="27" t="s">
        <v>16</v>
      </c>
      <c r="B114" s="27" t="s">
        <v>107</v>
      </c>
      <c r="C114" s="28">
        <v>2.8</v>
      </c>
      <c r="D114">
        <f t="shared" si="2"/>
        <v>1000000</v>
      </c>
      <c r="E114">
        <v>23</v>
      </c>
      <c r="F114" s="26"/>
    </row>
    <row r="115" spans="1:6" x14ac:dyDescent="0.3">
      <c r="A115" s="27" t="s">
        <v>16</v>
      </c>
      <c r="B115" s="27" t="s">
        <v>107</v>
      </c>
      <c r="C115" s="28">
        <v>2.8</v>
      </c>
      <c r="D115">
        <f t="shared" si="2"/>
        <v>1000000</v>
      </c>
      <c r="E115">
        <v>23</v>
      </c>
      <c r="F115" s="26"/>
    </row>
    <row r="116" spans="1:6" x14ac:dyDescent="0.3">
      <c r="A116" s="27" t="s">
        <v>16</v>
      </c>
      <c r="B116" s="27" t="s">
        <v>102</v>
      </c>
      <c r="C116" s="28">
        <v>3.2</v>
      </c>
      <c r="D116">
        <f t="shared" si="2"/>
        <v>1000000</v>
      </c>
      <c r="E116">
        <v>23</v>
      </c>
      <c r="F116" s="26"/>
    </row>
    <row r="117" spans="1:6" x14ac:dyDescent="0.3">
      <c r="A117" s="27" t="s">
        <v>16</v>
      </c>
      <c r="B117" s="27" t="s">
        <v>103</v>
      </c>
      <c r="C117" s="28">
        <v>3.2</v>
      </c>
      <c r="D117">
        <f t="shared" si="2"/>
        <v>1000000</v>
      </c>
      <c r="E117">
        <v>23</v>
      </c>
      <c r="F117" s="26"/>
    </row>
    <row r="118" spans="1:6" x14ac:dyDescent="0.3">
      <c r="A118" s="27" t="s">
        <v>16</v>
      </c>
      <c r="B118" s="27" t="s">
        <v>351</v>
      </c>
      <c r="C118" s="28">
        <v>3.8</v>
      </c>
      <c r="D118">
        <f t="shared" si="2"/>
        <v>1000000</v>
      </c>
      <c r="E118">
        <v>23</v>
      </c>
      <c r="F118" s="26"/>
    </row>
    <row r="119" spans="1:6" x14ac:dyDescent="0.3">
      <c r="A119" s="27" t="s">
        <v>16</v>
      </c>
      <c r="B119" s="27" t="s">
        <v>104</v>
      </c>
      <c r="C119" s="28">
        <v>4.5</v>
      </c>
      <c r="D119">
        <f t="shared" si="2"/>
        <v>1000000</v>
      </c>
      <c r="E119">
        <v>23</v>
      </c>
      <c r="F119" s="26"/>
    </row>
    <row r="120" spans="1:6" x14ac:dyDescent="0.3">
      <c r="A120" s="27" t="s">
        <v>16</v>
      </c>
      <c r="B120" s="27" t="s">
        <v>106</v>
      </c>
      <c r="C120" s="28">
        <v>4.5</v>
      </c>
      <c r="D120">
        <f t="shared" si="2"/>
        <v>1000000</v>
      </c>
      <c r="E120">
        <v>23</v>
      </c>
      <c r="F120" s="26"/>
    </row>
    <row r="121" spans="1:6" x14ac:dyDescent="0.3">
      <c r="A121" s="27" t="s">
        <v>16</v>
      </c>
      <c r="B121" s="27" t="s">
        <v>106</v>
      </c>
      <c r="C121" s="28">
        <v>4.5</v>
      </c>
      <c r="D121">
        <f t="shared" si="2"/>
        <v>1000000</v>
      </c>
      <c r="E121">
        <v>23</v>
      </c>
      <c r="F121" s="26"/>
    </row>
    <row r="122" spans="1:6" x14ac:dyDescent="0.3">
      <c r="A122" s="27" t="s">
        <v>16</v>
      </c>
      <c r="B122" s="27" t="s">
        <v>105</v>
      </c>
      <c r="C122" s="28">
        <v>6.8</v>
      </c>
      <c r="D122">
        <f t="shared" si="2"/>
        <v>1000000</v>
      </c>
      <c r="E122">
        <v>23</v>
      </c>
      <c r="F122" s="26"/>
    </row>
    <row r="123" spans="1:6" x14ac:dyDescent="0.3">
      <c r="A123" s="27" t="s">
        <v>16</v>
      </c>
      <c r="B123" s="27" t="s">
        <v>105</v>
      </c>
      <c r="C123" s="28">
        <v>6.8</v>
      </c>
      <c r="D123">
        <f t="shared" si="2"/>
        <v>1000000</v>
      </c>
      <c r="E123">
        <v>23</v>
      </c>
      <c r="F123" s="26"/>
    </row>
    <row r="124" spans="1:6" x14ac:dyDescent="0.3">
      <c r="A124" s="27" t="s">
        <v>16</v>
      </c>
      <c r="B124" s="27" t="s">
        <v>105</v>
      </c>
      <c r="C124" s="28">
        <v>6.8</v>
      </c>
      <c r="D124">
        <f t="shared" si="2"/>
        <v>1000000</v>
      </c>
      <c r="E124">
        <v>23</v>
      </c>
      <c r="F124" s="26"/>
    </row>
    <row r="125" spans="1:6" x14ac:dyDescent="0.3">
      <c r="A125" s="27" t="s">
        <v>16</v>
      </c>
      <c r="B125" s="27" t="s">
        <v>105</v>
      </c>
      <c r="C125" s="28">
        <v>6.8</v>
      </c>
      <c r="D125">
        <f t="shared" si="2"/>
        <v>1000000</v>
      </c>
      <c r="E125">
        <v>23</v>
      </c>
      <c r="F125" s="26"/>
    </row>
    <row r="126" spans="1:6" x14ac:dyDescent="0.3">
      <c r="A126" s="27" t="s">
        <v>17</v>
      </c>
      <c r="B126" s="27" t="s">
        <v>109</v>
      </c>
      <c r="C126" s="28">
        <v>2.5</v>
      </c>
      <c r="D126">
        <f t="shared" si="2"/>
        <v>1000000</v>
      </c>
      <c r="E126">
        <v>24</v>
      </c>
      <c r="F126" s="26"/>
    </row>
    <row r="127" spans="1:6" x14ac:dyDescent="0.3">
      <c r="A127" s="27" t="s">
        <v>17</v>
      </c>
      <c r="B127" s="27" t="s">
        <v>108</v>
      </c>
      <c r="C127" s="28">
        <v>3.1</v>
      </c>
      <c r="D127">
        <f t="shared" si="2"/>
        <v>1000000</v>
      </c>
      <c r="E127">
        <v>24</v>
      </c>
      <c r="F127" s="26"/>
    </row>
    <row r="128" spans="1:6" x14ac:dyDescent="0.3">
      <c r="A128" s="27" t="s">
        <v>17</v>
      </c>
      <c r="B128" s="27" t="s">
        <v>110</v>
      </c>
      <c r="C128" s="28">
        <v>3.1</v>
      </c>
      <c r="D128">
        <f t="shared" si="2"/>
        <v>1000000</v>
      </c>
      <c r="E128">
        <v>24</v>
      </c>
      <c r="F128" s="26"/>
    </row>
    <row r="129" spans="1:6" x14ac:dyDescent="0.3">
      <c r="A129" s="27" t="s">
        <v>17</v>
      </c>
      <c r="B129" s="27" t="s">
        <v>111</v>
      </c>
      <c r="C129" s="28">
        <v>5.5</v>
      </c>
      <c r="D129">
        <f t="shared" si="2"/>
        <v>1000000</v>
      </c>
      <c r="E129">
        <v>24</v>
      </c>
      <c r="F129" s="26"/>
    </row>
    <row r="130" spans="1:6" x14ac:dyDescent="0.3">
      <c r="A130" s="27" t="s">
        <v>20</v>
      </c>
      <c r="B130" s="27" t="s">
        <v>117</v>
      </c>
      <c r="C130" s="28">
        <v>3.1</v>
      </c>
      <c r="D130">
        <f t="shared" si="2"/>
        <v>1000000</v>
      </c>
      <c r="E130">
        <v>25</v>
      </c>
      <c r="F130" s="26"/>
    </row>
    <row r="131" spans="1:6" x14ac:dyDescent="0.3">
      <c r="A131" s="27" t="s">
        <v>20</v>
      </c>
      <c r="B131" s="27" t="s">
        <v>117</v>
      </c>
      <c r="C131" s="28">
        <v>3.1</v>
      </c>
      <c r="D131">
        <f t="shared" si="2"/>
        <v>1000000</v>
      </c>
      <c r="E131">
        <v>25</v>
      </c>
      <c r="F131" s="26"/>
    </row>
    <row r="132" spans="1:6" x14ac:dyDescent="0.3">
      <c r="A132" s="27" t="s">
        <v>20</v>
      </c>
      <c r="B132" s="27" t="s">
        <v>115</v>
      </c>
      <c r="C132" s="28">
        <v>3.4</v>
      </c>
      <c r="D132">
        <f t="shared" si="2"/>
        <v>1000000</v>
      </c>
      <c r="E132">
        <v>25</v>
      </c>
      <c r="F132" s="26"/>
    </row>
    <row r="133" spans="1:6" x14ac:dyDescent="0.3">
      <c r="A133" s="27" t="s">
        <v>20</v>
      </c>
      <c r="B133" s="27" t="s">
        <v>114</v>
      </c>
      <c r="C133" s="28">
        <v>3.6</v>
      </c>
      <c r="D133">
        <f t="shared" si="2"/>
        <v>1000000</v>
      </c>
      <c r="E133">
        <v>25</v>
      </c>
      <c r="F133" s="26"/>
    </row>
    <row r="134" spans="1:6" x14ac:dyDescent="0.3">
      <c r="A134" s="27" t="s">
        <v>20</v>
      </c>
      <c r="B134" s="27" t="s">
        <v>114</v>
      </c>
      <c r="C134" s="28">
        <v>3.6</v>
      </c>
      <c r="D134">
        <f t="shared" si="2"/>
        <v>1000000</v>
      </c>
      <c r="E134">
        <v>25</v>
      </c>
      <c r="F134" s="26"/>
    </row>
    <row r="135" spans="1:6" x14ac:dyDescent="0.3">
      <c r="A135" s="27" t="s">
        <v>20</v>
      </c>
      <c r="B135" s="27" t="s">
        <v>113</v>
      </c>
      <c r="C135" s="28">
        <v>3.8</v>
      </c>
      <c r="D135">
        <f t="shared" si="2"/>
        <v>1000000</v>
      </c>
      <c r="E135">
        <v>25</v>
      </c>
      <c r="F135" s="26"/>
    </row>
    <row r="136" spans="1:6" x14ac:dyDescent="0.3">
      <c r="A136" s="27" t="s">
        <v>20</v>
      </c>
      <c r="B136" s="27" t="s">
        <v>116</v>
      </c>
      <c r="C136" s="28">
        <v>3.8</v>
      </c>
      <c r="D136">
        <f t="shared" si="2"/>
        <v>1000000</v>
      </c>
      <c r="E136">
        <v>25</v>
      </c>
      <c r="F136" s="26"/>
    </row>
    <row r="137" spans="1:6" x14ac:dyDescent="0.3">
      <c r="A137" s="27" t="s">
        <v>20</v>
      </c>
      <c r="B137" s="27" t="s">
        <v>116</v>
      </c>
      <c r="C137" s="28">
        <v>3.8</v>
      </c>
      <c r="D137">
        <f t="shared" ref="D137:D200" si="3">IF(F137="Sabit",999999999,1000000)</f>
        <v>1000000</v>
      </c>
      <c r="E137">
        <v>25</v>
      </c>
      <c r="F137" s="26"/>
    </row>
    <row r="138" spans="1:6" x14ac:dyDescent="0.3">
      <c r="A138" s="27" t="s">
        <v>20</v>
      </c>
      <c r="B138" s="27" t="s">
        <v>112</v>
      </c>
      <c r="C138" s="28">
        <v>4.5</v>
      </c>
      <c r="D138">
        <f t="shared" si="3"/>
        <v>1000000</v>
      </c>
      <c r="E138">
        <v>25</v>
      </c>
      <c r="F138" s="26"/>
    </row>
    <row r="139" spans="1:6" x14ac:dyDescent="0.3">
      <c r="A139" s="27" t="s">
        <v>20</v>
      </c>
      <c r="B139" s="27" t="s">
        <v>112</v>
      </c>
      <c r="C139" s="28">
        <v>4.5</v>
      </c>
      <c r="D139">
        <f t="shared" si="3"/>
        <v>1000000</v>
      </c>
      <c r="E139">
        <v>25</v>
      </c>
      <c r="F139" s="26"/>
    </row>
    <row r="140" spans="1:6" x14ac:dyDescent="0.3">
      <c r="A140" s="27" t="s">
        <v>20</v>
      </c>
      <c r="B140" s="27" t="s">
        <v>352</v>
      </c>
      <c r="C140" s="28">
        <v>6.1</v>
      </c>
      <c r="D140">
        <f t="shared" si="3"/>
        <v>1000000</v>
      </c>
      <c r="E140">
        <v>25</v>
      </c>
      <c r="F140" s="26"/>
    </row>
    <row r="141" spans="1:6" x14ac:dyDescent="0.3">
      <c r="A141" s="27" t="s">
        <v>21</v>
      </c>
      <c r="B141" s="27" t="s">
        <v>354</v>
      </c>
      <c r="C141" s="28">
        <v>2.8</v>
      </c>
      <c r="D141">
        <f t="shared" si="3"/>
        <v>1000000</v>
      </c>
      <c r="E141">
        <v>26</v>
      </c>
      <c r="F141" s="26"/>
    </row>
    <row r="142" spans="1:6" x14ac:dyDescent="0.3">
      <c r="A142" s="27" t="s">
        <v>21</v>
      </c>
      <c r="B142" s="27" t="s">
        <v>355</v>
      </c>
      <c r="C142" s="28">
        <v>2.8</v>
      </c>
      <c r="D142">
        <f t="shared" si="3"/>
        <v>1000000</v>
      </c>
      <c r="E142">
        <v>26</v>
      </c>
      <c r="F142" s="26"/>
    </row>
    <row r="143" spans="1:6" x14ac:dyDescent="0.3">
      <c r="A143" s="27" t="s">
        <v>21</v>
      </c>
      <c r="B143" s="27" t="s">
        <v>359</v>
      </c>
      <c r="C143" s="28">
        <v>3.1</v>
      </c>
      <c r="D143">
        <f t="shared" si="3"/>
        <v>1000000</v>
      </c>
      <c r="E143">
        <v>26</v>
      </c>
      <c r="F143" s="26"/>
    </row>
    <row r="144" spans="1:6" x14ac:dyDescent="0.3">
      <c r="A144" s="27" t="s">
        <v>21</v>
      </c>
      <c r="B144" s="27" t="s">
        <v>353</v>
      </c>
      <c r="C144" s="28">
        <v>4.0999999999999996</v>
      </c>
      <c r="D144">
        <f t="shared" si="3"/>
        <v>1000000</v>
      </c>
      <c r="E144">
        <v>26</v>
      </c>
      <c r="F144" s="26"/>
    </row>
    <row r="145" spans="1:6" x14ac:dyDescent="0.3">
      <c r="A145" s="27" t="s">
        <v>21</v>
      </c>
      <c r="B145" s="27" t="s">
        <v>120</v>
      </c>
      <c r="C145" s="28">
        <v>4.0999999999999996</v>
      </c>
      <c r="D145">
        <f t="shared" si="3"/>
        <v>1000000</v>
      </c>
      <c r="E145">
        <v>26</v>
      </c>
      <c r="F145" s="26"/>
    </row>
    <row r="146" spans="1:6" x14ac:dyDescent="0.3">
      <c r="A146" s="27" t="s">
        <v>21</v>
      </c>
      <c r="B146" s="27" t="s">
        <v>356</v>
      </c>
      <c r="C146" s="28">
        <v>4.8</v>
      </c>
      <c r="D146">
        <f t="shared" si="3"/>
        <v>1000000</v>
      </c>
      <c r="E146">
        <v>26</v>
      </c>
      <c r="F146" s="26"/>
    </row>
    <row r="147" spans="1:6" x14ac:dyDescent="0.3">
      <c r="A147" s="27" t="s">
        <v>21</v>
      </c>
      <c r="B147" s="27" t="s">
        <v>357</v>
      </c>
      <c r="C147" s="28">
        <v>4.8</v>
      </c>
      <c r="D147">
        <f t="shared" si="3"/>
        <v>1000000</v>
      </c>
      <c r="E147">
        <v>26</v>
      </c>
      <c r="F147" s="26"/>
    </row>
    <row r="148" spans="1:6" x14ac:dyDescent="0.3">
      <c r="A148" s="27" t="s">
        <v>21</v>
      </c>
      <c r="B148" s="27" t="s">
        <v>358</v>
      </c>
      <c r="C148" s="28">
        <v>4.8</v>
      </c>
      <c r="D148">
        <f t="shared" si="3"/>
        <v>1000000</v>
      </c>
      <c r="E148">
        <v>26</v>
      </c>
      <c r="F148" s="26"/>
    </row>
    <row r="149" spans="1:6" x14ac:dyDescent="0.3">
      <c r="A149" s="27" t="s">
        <v>21</v>
      </c>
      <c r="B149" s="27" t="s">
        <v>357</v>
      </c>
      <c r="C149" s="28">
        <v>4.8</v>
      </c>
      <c r="D149">
        <f t="shared" si="3"/>
        <v>1000000</v>
      </c>
      <c r="E149">
        <v>26</v>
      </c>
      <c r="F149" s="26"/>
    </row>
    <row r="150" spans="1:6" x14ac:dyDescent="0.3">
      <c r="A150" s="27" t="s">
        <v>21</v>
      </c>
      <c r="B150" s="27" t="s">
        <v>358</v>
      </c>
      <c r="C150" s="28">
        <v>4.8</v>
      </c>
      <c r="D150">
        <f t="shared" si="3"/>
        <v>1000000</v>
      </c>
      <c r="E150">
        <v>26</v>
      </c>
      <c r="F150" s="26"/>
    </row>
    <row r="151" spans="1:6" x14ac:dyDescent="0.3">
      <c r="A151" s="27" t="s">
        <v>21</v>
      </c>
      <c r="B151" s="27" t="s">
        <v>119</v>
      </c>
      <c r="C151" s="28">
        <v>8.8000000000000007</v>
      </c>
      <c r="D151">
        <f t="shared" si="3"/>
        <v>1000000</v>
      </c>
      <c r="E151">
        <v>26</v>
      </c>
      <c r="F151" s="26"/>
    </row>
    <row r="152" spans="1:6" x14ac:dyDescent="0.3">
      <c r="A152" s="27" t="s">
        <v>21</v>
      </c>
      <c r="B152" s="27" t="s">
        <v>118</v>
      </c>
      <c r="C152" s="28">
        <v>12.2</v>
      </c>
      <c r="D152">
        <f t="shared" si="3"/>
        <v>1000000</v>
      </c>
      <c r="E152">
        <v>26</v>
      </c>
      <c r="F152" s="26"/>
    </row>
    <row r="153" spans="1:6" x14ac:dyDescent="0.3">
      <c r="A153" s="27" t="s">
        <v>22</v>
      </c>
      <c r="B153" s="27" t="s">
        <v>360</v>
      </c>
      <c r="C153" s="28">
        <v>2.6</v>
      </c>
      <c r="D153">
        <f t="shared" si="3"/>
        <v>999999999</v>
      </c>
      <c r="E153">
        <v>27</v>
      </c>
      <c r="F153" s="26" t="s">
        <v>577</v>
      </c>
    </row>
    <row r="154" spans="1:6" x14ac:dyDescent="0.3">
      <c r="A154" s="27" t="s">
        <v>22</v>
      </c>
      <c r="B154" s="27" t="s">
        <v>122</v>
      </c>
      <c r="C154" s="28">
        <v>3.5</v>
      </c>
      <c r="D154">
        <f t="shared" si="3"/>
        <v>999999999</v>
      </c>
      <c r="E154">
        <v>27</v>
      </c>
      <c r="F154" s="26" t="s">
        <v>577</v>
      </c>
    </row>
    <row r="155" spans="1:6" x14ac:dyDescent="0.3">
      <c r="A155" s="27" t="s">
        <v>22</v>
      </c>
      <c r="B155" s="27" t="s">
        <v>122</v>
      </c>
      <c r="C155" s="28">
        <v>3.5</v>
      </c>
      <c r="D155">
        <f t="shared" si="3"/>
        <v>999999999</v>
      </c>
      <c r="E155">
        <v>27</v>
      </c>
      <c r="F155" s="26" t="s">
        <v>577</v>
      </c>
    </row>
    <row r="156" spans="1:6" x14ac:dyDescent="0.3">
      <c r="A156" s="27" t="s">
        <v>22</v>
      </c>
      <c r="B156" s="27" t="s">
        <v>122</v>
      </c>
      <c r="C156" s="28">
        <v>3.5</v>
      </c>
      <c r="D156">
        <f t="shared" si="3"/>
        <v>999999999</v>
      </c>
      <c r="E156">
        <v>27</v>
      </c>
      <c r="F156" s="26" t="s">
        <v>577</v>
      </c>
    </row>
    <row r="157" spans="1:6" x14ac:dyDescent="0.3">
      <c r="A157" s="27" t="s">
        <v>22</v>
      </c>
      <c r="B157" s="27" t="s">
        <v>361</v>
      </c>
      <c r="C157" s="28">
        <v>3.5</v>
      </c>
      <c r="D157">
        <f t="shared" si="3"/>
        <v>999999999</v>
      </c>
      <c r="E157">
        <v>27</v>
      </c>
      <c r="F157" s="26" t="s">
        <v>577</v>
      </c>
    </row>
    <row r="158" spans="1:6" x14ac:dyDescent="0.3">
      <c r="A158" s="27" t="s">
        <v>22</v>
      </c>
      <c r="B158" s="27" t="s">
        <v>123</v>
      </c>
      <c r="C158" s="28">
        <v>3.6</v>
      </c>
      <c r="D158">
        <f t="shared" si="3"/>
        <v>999999999</v>
      </c>
      <c r="E158">
        <v>27</v>
      </c>
      <c r="F158" s="26" t="s">
        <v>577</v>
      </c>
    </row>
    <row r="159" spans="1:6" x14ac:dyDescent="0.3">
      <c r="A159" s="27" t="s">
        <v>22</v>
      </c>
      <c r="B159" s="27" t="s">
        <v>123</v>
      </c>
      <c r="C159" s="28">
        <v>3.6</v>
      </c>
      <c r="D159">
        <f t="shared" si="3"/>
        <v>999999999</v>
      </c>
      <c r="E159">
        <v>27</v>
      </c>
      <c r="F159" s="26" t="s">
        <v>577</v>
      </c>
    </row>
    <row r="160" spans="1:6" x14ac:dyDescent="0.3">
      <c r="A160" s="27" t="s">
        <v>22</v>
      </c>
      <c r="B160" s="27" t="s">
        <v>123</v>
      </c>
      <c r="C160" s="28">
        <v>3.6</v>
      </c>
      <c r="D160">
        <f t="shared" si="3"/>
        <v>999999999</v>
      </c>
      <c r="E160">
        <v>27</v>
      </c>
      <c r="F160" s="26" t="s">
        <v>577</v>
      </c>
    </row>
    <row r="161" spans="1:6" x14ac:dyDescent="0.3">
      <c r="A161" s="27" t="s">
        <v>22</v>
      </c>
      <c r="B161" s="27" t="s">
        <v>121</v>
      </c>
      <c r="C161" s="28">
        <v>4.4000000000000004</v>
      </c>
      <c r="D161">
        <f t="shared" si="3"/>
        <v>999999999</v>
      </c>
      <c r="E161">
        <v>27</v>
      </c>
      <c r="F161" s="26" t="s">
        <v>577</v>
      </c>
    </row>
    <row r="162" spans="1:6" x14ac:dyDescent="0.3">
      <c r="A162" s="27" t="s">
        <v>22</v>
      </c>
      <c r="B162" s="27" t="s">
        <v>121</v>
      </c>
      <c r="C162" s="28">
        <v>4.4000000000000004</v>
      </c>
      <c r="D162">
        <f t="shared" si="3"/>
        <v>999999999</v>
      </c>
      <c r="E162">
        <v>27</v>
      </c>
      <c r="F162" s="26" t="s">
        <v>577</v>
      </c>
    </row>
    <row r="163" spans="1:6" x14ac:dyDescent="0.3">
      <c r="A163" s="27" t="s">
        <v>22</v>
      </c>
      <c r="B163" s="27" t="s">
        <v>121</v>
      </c>
      <c r="C163" s="28">
        <v>4.4000000000000004</v>
      </c>
      <c r="D163">
        <f t="shared" si="3"/>
        <v>999999999</v>
      </c>
      <c r="E163">
        <v>27</v>
      </c>
      <c r="F163" s="26" t="s">
        <v>577</v>
      </c>
    </row>
    <row r="164" spans="1:6" x14ac:dyDescent="0.3">
      <c r="A164" s="27" t="s">
        <v>22</v>
      </c>
      <c r="B164" s="27" t="s">
        <v>121</v>
      </c>
      <c r="C164" s="28">
        <v>4.4000000000000004</v>
      </c>
      <c r="D164">
        <f t="shared" si="3"/>
        <v>999999999</v>
      </c>
      <c r="E164">
        <v>27</v>
      </c>
      <c r="F164" s="26" t="s">
        <v>577</v>
      </c>
    </row>
    <row r="165" spans="1:6" x14ac:dyDescent="0.3">
      <c r="A165" s="27" t="s">
        <v>22</v>
      </c>
      <c r="B165" s="27" t="s">
        <v>124</v>
      </c>
      <c r="C165" s="28">
        <v>6.5</v>
      </c>
      <c r="D165">
        <f t="shared" si="3"/>
        <v>999999999</v>
      </c>
      <c r="E165">
        <v>27</v>
      </c>
      <c r="F165" s="26" t="s">
        <v>577</v>
      </c>
    </row>
    <row r="166" spans="1:6" x14ac:dyDescent="0.3">
      <c r="A166" s="27" t="s">
        <v>23</v>
      </c>
      <c r="B166" s="27" t="s">
        <v>130</v>
      </c>
      <c r="C166" s="28">
        <v>3.1</v>
      </c>
      <c r="D166">
        <f t="shared" si="3"/>
        <v>999999999</v>
      </c>
      <c r="E166">
        <v>28</v>
      </c>
      <c r="F166" s="26" t="s">
        <v>577</v>
      </c>
    </row>
    <row r="167" spans="1:6" x14ac:dyDescent="0.3">
      <c r="A167" s="27" t="s">
        <v>23</v>
      </c>
      <c r="B167" s="27" t="s">
        <v>126</v>
      </c>
      <c r="C167" s="28">
        <v>3.6</v>
      </c>
      <c r="D167">
        <f t="shared" si="3"/>
        <v>999999999</v>
      </c>
      <c r="E167">
        <v>28</v>
      </c>
      <c r="F167" s="26" t="s">
        <v>577</v>
      </c>
    </row>
    <row r="168" spans="1:6" x14ac:dyDescent="0.3">
      <c r="A168" s="27" t="s">
        <v>23</v>
      </c>
      <c r="B168" s="27" t="s">
        <v>127</v>
      </c>
      <c r="C168" s="28">
        <v>3.6</v>
      </c>
      <c r="D168">
        <f t="shared" si="3"/>
        <v>999999999</v>
      </c>
      <c r="E168">
        <v>28</v>
      </c>
      <c r="F168" s="26" t="s">
        <v>577</v>
      </c>
    </row>
    <row r="169" spans="1:6" x14ac:dyDescent="0.3">
      <c r="A169" s="27" t="s">
        <v>23</v>
      </c>
      <c r="B169" s="27" t="s">
        <v>128</v>
      </c>
      <c r="C169" s="28">
        <v>3.6</v>
      </c>
      <c r="D169">
        <f t="shared" si="3"/>
        <v>999999999</v>
      </c>
      <c r="E169">
        <v>28</v>
      </c>
      <c r="F169" s="26" t="s">
        <v>577</v>
      </c>
    </row>
    <row r="170" spans="1:6" x14ac:dyDescent="0.3">
      <c r="A170" s="27" t="s">
        <v>23</v>
      </c>
      <c r="B170" s="27" t="s">
        <v>126</v>
      </c>
      <c r="C170" s="28">
        <v>3.6</v>
      </c>
      <c r="D170">
        <f t="shared" si="3"/>
        <v>999999999</v>
      </c>
      <c r="E170">
        <v>28</v>
      </c>
      <c r="F170" s="26" t="s">
        <v>577</v>
      </c>
    </row>
    <row r="171" spans="1:6" x14ac:dyDescent="0.3">
      <c r="A171" s="27" t="s">
        <v>23</v>
      </c>
      <c r="B171" s="27" t="s">
        <v>127</v>
      </c>
      <c r="C171" s="28">
        <v>3.6</v>
      </c>
      <c r="D171">
        <f t="shared" si="3"/>
        <v>999999999</v>
      </c>
      <c r="E171">
        <v>28</v>
      </c>
      <c r="F171" s="26" t="s">
        <v>577</v>
      </c>
    </row>
    <row r="172" spans="1:6" x14ac:dyDescent="0.3">
      <c r="A172" s="27" t="s">
        <v>23</v>
      </c>
      <c r="B172" s="27" t="s">
        <v>128</v>
      </c>
      <c r="C172" s="28">
        <v>3.6</v>
      </c>
      <c r="D172">
        <f t="shared" si="3"/>
        <v>999999999</v>
      </c>
      <c r="E172">
        <v>28</v>
      </c>
      <c r="F172" s="26" t="s">
        <v>577</v>
      </c>
    </row>
    <row r="173" spans="1:6" x14ac:dyDescent="0.3">
      <c r="A173" s="27" t="s">
        <v>23</v>
      </c>
      <c r="B173" s="27" t="s">
        <v>126</v>
      </c>
      <c r="C173" s="28">
        <v>3.6</v>
      </c>
      <c r="D173">
        <f t="shared" si="3"/>
        <v>999999999</v>
      </c>
      <c r="E173">
        <v>28</v>
      </c>
      <c r="F173" s="26" t="s">
        <v>577</v>
      </c>
    </row>
    <row r="174" spans="1:6" x14ac:dyDescent="0.3">
      <c r="A174" s="27" t="s">
        <v>23</v>
      </c>
      <c r="B174" s="27" t="s">
        <v>127</v>
      </c>
      <c r="C174" s="28">
        <v>3.6</v>
      </c>
      <c r="D174">
        <f t="shared" si="3"/>
        <v>999999999</v>
      </c>
      <c r="E174">
        <v>28</v>
      </c>
      <c r="F174" s="26" t="s">
        <v>577</v>
      </c>
    </row>
    <row r="175" spans="1:6" x14ac:dyDescent="0.3">
      <c r="A175" s="27" t="s">
        <v>23</v>
      </c>
      <c r="B175" s="27" t="s">
        <v>128</v>
      </c>
      <c r="C175" s="28">
        <v>3.6</v>
      </c>
      <c r="D175">
        <f t="shared" si="3"/>
        <v>999999999</v>
      </c>
      <c r="E175">
        <v>28</v>
      </c>
      <c r="F175" s="26" t="s">
        <v>577</v>
      </c>
    </row>
    <row r="176" spans="1:6" x14ac:dyDescent="0.3">
      <c r="A176" s="27" t="s">
        <v>23</v>
      </c>
      <c r="B176" s="27" t="s">
        <v>129</v>
      </c>
      <c r="C176" s="28">
        <v>4.5</v>
      </c>
      <c r="D176">
        <f t="shared" si="3"/>
        <v>999999999</v>
      </c>
      <c r="E176">
        <v>28</v>
      </c>
      <c r="F176" s="26" t="s">
        <v>577</v>
      </c>
    </row>
    <row r="177" spans="1:6" x14ac:dyDescent="0.3">
      <c r="A177" s="27" t="s">
        <v>23</v>
      </c>
      <c r="B177" s="27" t="s">
        <v>125</v>
      </c>
      <c r="C177" s="28">
        <v>5.8</v>
      </c>
      <c r="D177">
        <f t="shared" si="3"/>
        <v>999999999</v>
      </c>
      <c r="E177">
        <v>28</v>
      </c>
      <c r="F177" s="26" t="s">
        <v>577</v>
      </c>
    </row>
    <row r="178" spans="1:6" x14ac:dyDescent="0.3">
      <c r="A178" s="27" t="s">
        <v>23</v>
      </c>
      <c r="B178" s="27" t="s">
        <v>125</v>
      </c>
      <c r="C178" s="28">
        <v>5.8</v>
      </c>
      <c r="D178">
        <f t="shared" si="3"/>
        <v>999999999</v>
      </c>
      <c r="E178">
        <v>28</v>
      </c>
      <c r="F178" s="26" t="s">
        <v>577</v>
      </c>
    </row>
    <row r="179" spans="1:6" x14ac:dyDescent="0.3">
      <c r="A179" s="27" t="s">
        <v>23</v>
      </c>
      <c r="B179" s="27" t="s">
        <v>125</v>
      </c>
      <c r="C179" s="28">
        <v>5.8</v>
      </c>
      <c r="D179">
        <f t="shared" si="3"/>
        <v>999999999</v>
      </c>
      <c r="E179">
        <v>28</v>
      </c>
      <c r="F179" s="26" t="s">
        <v>577</v>
      </c>
    </row>
    <row r="180" spans="1:6" x14ac:dyDescent="0.3">
      <c r="A180" s="27" t="s">
        <v>18</v>
      </c>
      <c r="B180" s="27" t="s">
        <v>134</v>
      </c>
      <c r="C180" s="28">
        <v>2.8</v>
      </c>
      <c r="D180">
        <f t="shared" si="3"/>
        <v>1000000</v>
      </c>
      <c r="E180">
        <v>29</v>
      </c>
      <c r="F180" s="26"/>
    </row>
    <row r="181" spans="1:6" x14ac:dyDescent="0.3">
      <c r="A181" s="27" t="s">
        <v>18</v>
      </c>
      <c r="B181" s="27" t="s">
        <v>131</v>
      </c>
      <c r="C181" s="28">
        <v>3.5</v>
      </c>
      <c r="D181">
        <f t="shared" si="3"/>
        <v>1000000</v>
      </c>
      <c r="E181">
        <v>29</v>
      </c>
      <c r="F181" s="26"/>
    </row>
    <row r="182" spans="1:6" x14ac:dyDescent="0.3">
      <c r="A182" s="27" t="s">
        <v>18</v>
      </c>
      <c r="B182" s="27" t="s">
        <v>133</v>
      </c>
      <c r="C182" s="28">
        <v>4.2</v>
      </c>
      <c r="D182">
        <f t="shared" si="3"/>
        <v>1000000</v>
      </c>
      <c r="E182">
        <v>29</v>
      </c>
      <c r="F182" s="26"/>
    </row>
    <row r="183" spans="1:6" x14ac:dyDescent="0.3">
      <c r="A183" s="27" t="s">
        <v>18</v>
      </c>
      <c r="B183" s="27" t="s">
        <v>132</v>
      </c>
      <c r="C183" s="28">
        <v>4.5</v>
      </c>
      <c r="D183">
        <f t="shared" si="3"/>
        <v>1000000</v>
      </c>
      <c r="E183">
        <v>29</v>
      </c>
      <c r="F183" s="26"/>
    </row>
    <row r="184" spans="1:6" x14ac:dyDescent="0.3">
      <c r="A184" s="27" t="s">
        <v>19</v>
      </c>
      <c r="B184" s="27" t="s">
        <v>362</v>
      </c>
      <c r="C184" s="28">
        <v>2.5</v>
      </c>
      <c r="D184">
        <f t="shared" si="3"/>
        <v>1000000</v>
      </c>
      <c r="E184">
        <v>30</v>
      </c>
      <c r="F184" s="26"/>
    </row>
    <row r="185" spans="1:6" x14ac:dyDescent="0.3">
      <c r="A185" s="27" t="s">
        <v>19</v>
      </c>
      <c r="B185" s="27" t="s">
        <v>135</v>
      </c>
      <c r="C185" s="28">
        <v>3.5</v>
      </c>
      <c r="D185">
        <f t="shared" si="3"/>
        <v>1000000</v>
      </c>
      <c r="E185">
        <v>30</v>
      </c>
      <c r="F185" s="26"/>
    </row>
    <row r="186" spans="1:6" x14ac:dyDescent="0.3">
      <c r="A186" s="27" t="s">
        <v>19</v>
      </c>
      <c r="B186" s="27" t="s">
        <v>135</v>
      </c>
      <c r="C186" s="28">
        <v>3.5</v>
      </c>
      <c r="D186">
        <f t="shared" si="3"/>
        <v>1000000</v>
      </c>
      <c r="E186">
        <v>30</v>
      </c>
      <c r="F186" s="26"/>
    </row>
    <row r="187" spans="1:6" x14ac:dyDescent="0.3">
      <c r="A187" s="27" t="s">
        <v>19</v>
      </c>
      <c r="B187" s="27" t="s">
        <v>135</v>
      </c>
      <c r="C187" s="28">
        <v>3.5</v>
      </c>
      <c r="D187">
        <f t="shared" si="3"/>
        <v>1000000</v>
      </c>
      <c r="E187">
        <v>30</v>
      </c>
      <c r="F187" s="26"/>
    </row>
    <row r="188" spans="1:6" x14ac:dyDescent="0.3">
      <c r="A188" s="27" t="s">
        <v>19</v>
      </c>
      <c r="B188" s="27" t="s">
        <v>135</v>
      </c>
      <c r="C188" s="28">
        <v>3.5</v>
      </c>
      <c r="D188">
        <f t="shared" si="3"/>
        <v>1000000</v>
      </c>
      <c r="E188">
        <v>30</v>
      </c>
      <c r="F188" s="26"/>
    </row>
    <row r="189" spans="1:6" x14ac:dyDescent="0.3">
      <c r="A189" s="27" t="s">
        <v>19</v>
      </c>
      <c r="B189" s="27" t="s">
        <v>135</v>
      </c>
      <c r="C189" s="28">
        <v>3.5</v>
      </c>
      <c r="D189">
        <f t="shared" si="3"/>
        <v>1000000</v>
      </c>
      <c r="E189">
        <v>30</v>
      </c>
      <c r="F189" s="26"/>
    </row>
    <row r="190" spans="1:6" x14ac:dyDescent="0.3">
      <c r="A190" s="27" t="s">
        <v>19</v>
      </c>
      <c r="B190" s="27" t="s">
        <v>136</v>
      </c>
      <c r="C190" s="28">
        <v>3.8</v>
      </c>
      <c r="D190">
        <f t="shared" si="3"/>
        <v>1000000</v>
      </c>
      <c r="E190">
        <v>30</v>
      </c>
      <c r="F190" s="26"/>
    </row>
    <row r="191" spans="1:6" x14ac:dyDescent="0.3">
      <c r="A191" s="27" t="s">
        <v>19</v>
      </c>
      <c r="B191" s="27" t="s">
        <v>136</v>
      </c>
      <c r="C191" s="28">
        <v>3.8</v>
      </c>
      <c r="D191">
        <f t="shared" si="3"/>
        <v>1000000</v>
      </c>
      <c r="E191">
        <v>30</v>
      </c>
      <c r="F191" s="26"/>
    </row>
    <row r="192" spans="1:6" x14ac:dyDescent="0.3">
      <c r="A192" s="27" t="s">
        <v>19</v>
      </c>
      <c r="B192" s="27" t="s">
        <v>136</v>
      </c>
      <c r="C192" s="28">
        <v>3.8</v>
      </c>
      <c r="D192">
        <f t="shared" si="3"/>
        <v>1000000</v>
      </c>
      <c r="E192">
        <v>30</v>
      </c>
      <c r="F192" s="26"/>
    </row>
    <row r="193" spans="1:6" x14ac:dyDescent="0.3">
      <c r="A193" s="27" t="s">
        <v>19</v>
      </c>
      <c r="B193" s="27" t="s">
        <v>136</v>
      </c>
      <c r="C193" s="28">
        <v>3.8</v>
      </c>
      <c r="D193">
        <f t="shared" si="3"/>
        <v>1000000</v>
      </c>
      <c r="E193">
        <v>30</v>
      </c>
      <c r="F193" s="26"/>
    </row>
    <row r="194" spans="1:6" x14ac:dyDescent="0.3">
      <c r="A194" s="27" t="s">
        <v>19</v>
      </c>
      <c r="B194" s="27" t="s">
        <v>137</v>
      </c>
      <c r="C194" s="28">
        <v>4.8</v>
      </c>
      <c r="D194">
        <f t="shared" si="3"/>
        <v>1000000</v>
      </c>
      <c r="E194">
        <v>30</v>
      </c>
      <c r="F194" s="26"/>
    </row>
    <row r="195" spans="1:6" x14ac:dyDescent="0.3">
      <c r="A195" s="27" t="s">
        <v>19</v>
      </c>
      <c r="B195" s="27" t="s">
        <v>137</v>
      </c>
      <c r="C195" s="28">
        <v>4.8</v>
      </c>
      <c r="D195">
        <f t="shared" si="3"/>
        <v>1000000</v>
      </c>
      <c r="E195">
        <v>30</v>
      </c>
      <c r="F195" s="26"/>
    </row>
    <row r="196" spans="1:6" x14ac:dyDescent="0.3">
      <c r="A196" s="27" t="s">
        <v>19</v>
      </c>
      <c r="B196" s="27" t="s">
        <v>137</v>
      </c>
      <c r="C196" s="28">
        <v>12.2</v>
      </c>
      <c r="D196">
        <f t="shared" si="3"/>
        <v>1000000</v>
      </c>
      <c r="E196">
        <v>30</v>
      </c>
      <c r="F196" s="26"/>
    </row>
    <row r="197" spans="1:6" x14ac:dyDescent="0.3">
      <c r="A197" s="27" t="s">
        <v>363</v>
      </c>
      <c r="B197" s="27" t="s">
        <v>368</v>
      </c>
      <c r="C197" s="28">
        <v>1</v>
      </c>
      <c r="D197">
        <f t="shared" si="3"/>
        <v>999999999</v>
      </c>
      <c r="E197">
        <v>31</v>
      </c>
      <c r="F197" s="26" t="s">
        <v>577</v>
      </c>
    </row>
    <row r="198" spans="1:6" x14ac:dyDescent="0.3">
      <c r="A198" s="27" t="s">
        <v>363</v>
      </c>
      <c r="B198" s="27" t="s">
        <v>364</v>
      </c>
      <c r="C198" s="28">
        <v>2</v>
      </c>
      <c r="D198">
        <f t="shared" si="3"/>
        <v>999999999</v>
      </c>
      <c r="E198">
        <v>31</v>
      </c>
      <c r="F198" s="26" t="s">
        <v>577</v>
      </c>
    </row>
    <row r="199" spans="1:6" x14ac:dyDescent="0.3">
      <c r="A199" s="27" t="s">
        <v>363</v>
      </c>
      <c r="B199" s="27" t="s">
        <v>367</v>
      </c>
      <c r="C199" s="28">
        <v>2.8</v>
      </c>
      <c r="D199">
        <f t="shared" si="3"/>
        <v>999999999</v>
      </c>
      <c r="E199">
        <v>31</v>
      </c>
      <c r="F199" s="26" t="s">
        <v>577</v>
      </c>
    </row>
    <row r="200" spans="1:6" x14ac:dyDescent="0.3">
      <c r="A200" s="27" t="s">
        <v>363</v>
      </c>
      <c r="B200" s="27" t="s">
        <v>365</v>
      </c>
      <c r="C200" s="28">
        <v>3.1</v>
      </c>
      <c r="D200">
        <f t="shared" si="3"/>
        <v>999999999</v>
      </c>
      <c r="E200">
        <v>31</v>
      </c>
      <c r="F200" s="26" t="s">
        <v>577</v>
      </c>
    </row>
    <row r="201" spans="1:6" x14ac:dyDescent="0.3">
      <c r="A201" s="27" t="s">
        <v>363</v>
      </c>
      <c r="B201" s="27" t="s">
        <v>366</v>
      </c>
      <c r="C201" s="28">
        <v>4.8</v>
      </c>
      <c r="D201">
        <f t="shared" ref="D201:D264" si="4">IF(F201="Sabit",999999999,1000000)</f>
        <v>999999999</v>
      </c>
      <c r="E201">
        <v>31</v>
      </c>
      <c r="F201" s="26" t="s">
        <v>577</v>
      </c>
    </row>
    <row r="202" spans="1:6" x14ac:dyDescent="0.3">
      <c r="A202" s="37" t="s">
        <v>466</v>
      </c>
      <c r="B202" s="37" t="s">
        <v>470</v>
      </c>
      <c r="C202" s="28">
        <v>1</v>
      </c>
      <c r="D202">
        <f t="shared" si="4"/>
        <v>1000000</v>
      </c>
      <c r="E202">
        <v>32</v>
      </c>
      <c r="F202" s="26"/>
    </row>
    <row r="203" spans="1:6" x14ac:dyDescent="0.3">
      <c r="A203" s="37" t="s">
        <v>466</v>
      </c>
      <c r="B203" s="37" t="s">
        <v>467</v>
      </c>
      <c r="C203" s="28">
        <v>4.0999999999999996</v>
      </c>
      <c r="D203">
        <f t="shared" si="4"/>
        <v>1000000</v>
      </c>
      <c r="E203">
        <v>32</v>
      </c>
      <c r="F203" s="26"/>
    </row>
    <row r="204" spans="1:6" x14ac:dyDescent="0.3">
      <c r="A204" s="37" t="s">
        <v>466</v>
      </c>
      <c r="B204" s="37" t="s">
        <v>469</v>
      </c>
      <c r="C204" s="28">
        <v>4.5999999999999996</v>
      </c>
      <c r="D204">
        <f t="shared" si="4"/>
        <v>1000000</v>
      </c>
      <c r="E204">
        <v>32</v>
      </c>
      <c r="F204" s="26"/>
    </row>
    <row r="205" spans="1:6" x14ac:dyDescent="0.3">
      <c r="A205" s="37" t="s">
        <v>466</v>
      </c>
      <c r="B205" s="37" t="s">
        <v>468</v>
      </c>
      <c r="C205" s="28">
        <v>8.5</v>
      </c>
      <c r="D205">
        <f t="shared" si="4"/>
        <v>1000000</v>
      </c>
      <c r="E205">
        <v>32</v>
      </c>
      <c r="F205" s="26"/>
    </row>
    <row r="206" spans="1:6" x14ac:dyDescent="0.3">
      <c r="A206" s="27" t="s">
        <v>24</v>
      </c>
      <c r="B206" s="27" t="s">
        <v>138</v>
      </c>
      <c r="C206" s="28">
        <v>3.1</v>
      </c>
      <c r="D206">
        <f t="shared" si="4"/>
        <v>1000000</v>
      </c>
      <c r="E206">
        <v>33</v>
      </c>
      <c r="F206" s="26"/>
    </row>
    <row r="207" spans="1:6" x14ac:dyDescent="0.3">
      <c r="A207" s="27" t="s">
        <v>24</v>
      </c>
      <c r="B207" s="27" t="s">
        <v>140</v>
      </c>
      <c r="C207" s="28">
        <v>3.1</v>
      </c>
      <c r="D207">
        <f t="shared" si="4"/>
        <v>1000000</v>
      </c>
      <c r="E207">
        <v>33</v>
      </c>
      <c r="F207" s="26"/>
    </row>
    <row r="208" spans="1:6" x14ac:dyDescent="0.3">
      <c r="A208" s="27" t="s">
        <v>24</v>
      </c>
      <c r="B208" s="27" t="s">
        <v>138</v>
      </c>
      <c r="C208" s="28">
        <v>3.1</v>
      </c>
      <c r="D208">
        <f t="shared" si="4"/>
        <v>1000000</v>
      </c>
      <c r="E208">
        <v>33</v>
      </c>
      <c r="F208" s="26"/>
    </row>
    <row r="209" spans="1:6" x14ac:dyDescent="0.3">
      <c r="A209" s="27" t="s">
        <v>24</v>
      </c>
      <c r="B209" s="27" t="s">
        <v>140</v>
      </c>
      <c r="C209" s="28">
        <v>3.1</v>
      </c>
      <c r="D209">
        <f t="shared" si="4"/>
        <v>1000000</v>
      </c>
      <c r="E209">
        <v>33</v>
      </c>
      <c r="F209" s="26"/>
    </row>
    <row r="210" spans="1:6" x14ac:dyDescent="0.3">
      <c r="A210" s="27" t="s">
        <v>24</v>
      </c>
      <c r="B210" s="27" t="s">
        <v>369</v>
      </c>
      <c r="C210" s="28">
        <v>3.1</v>
      </c>
      <c r="D210">
        <f t="shared" si="4"/>
        <v>1000000</v>
      </c>
      <c r="E210">
        <v>33</v>
      </c>
      <c r="F210" s="26"/>
    </row>
    <row r="211" spans="1:6" x14ac:dyDescent="0.3">
      <c r="A211" s="27" t="s">
        <v>24</v>
      </c>
      <c r="B211" s="27" t="s">
        <v>138</v>
      </c>
      <c r="C211" s="28">
        <v>3.1</v>
      </c>
      <c r="D211">
        <f t="shared" si="4"/>
        <v>1000000</v>
      </c>
      <c r="E211">
        <v>33</v>
      </c>
      <c r="F211" s="26"/>
    </row>
    <row r="212" spans="1:6" x14ac:dyDescent="0.3">
      <c r="A212" s="27" t="s">
        <v>24</v>
      </c>
      <c r="B212" s="27" t="s">
        <v>140</v>
      </c>
      <c r="C212" s="28">
        <v>3.1</v>
      </c>
      <c r="D212">
        <f t="shared" si="4"/>
        <v>1000000</v>
      </c>
      <c r="E212">
        <v>33</v>
      </c>
      <c r="F212" s="26"/>
    </row>
    <row r="213" spans="1:6" x14ac:dyDescent="0.3">
      <c r="A213" s="27" t="s">
        <v>24</v>
      </c>
      <c r="B213" s="27" t="s">
        <v>371</v>
      </c>
      <c r="C213" s="28">
        <v>3.1</v>
      </c>
      <c r="D213">
        <f t="shared" si="4"/>
        <v>1000000</v>
      </c>
      <c r="E213">
        <v>33</v>
      </c>
      <c r="F213" s="26"/>
    </row>
    <row r="214" spans="1:6" x14ac:dyDescent="0.3">
      <c r="A214" s="27" t="s">
        <v>24</v>
      </c>
      <c r="B214" s="27" t="s">
        <v>139</v>
      </c>
      <c r="C214" s="28">
        <v>3.5</v>
      </c>
      <c r="D214">
        <f t="shared" si="4"/>
        <v>1000000</v>
      </c>
      <c r="E214">
        <v>33</v>
      </c>
      <c r="F214" s="26"/>
    </row>
    <row r="215" spans="1:6" x14ac:dyDescent="0.3">
      <c r="A215" s="27" t="s">
        <v>24</v>
      </c>
      <c r="B215" s="27" t="s">
        <v>139</v>
      </c>
      <c r="C215" s="28">
        <v>3.5</v>
      </c>
      <c r="D215">
        <f t="shared" si="4"/>
        <v>1000000</v>
      </c>
      <c r="E215">
        <v>33</v>
      </c>
      <c r="F215" s="26"/>
    </row>
    <row r="216" spans="1:6" x14ac:dyDescent="0.3">
      <c r="A216" s="27" t="s">
        <v>24</v>
      </c>
      <c r="B216" s="27" t="s">
        <v>370</v>
      </c>
      <c r="C216" s="28">
        <v>3.5</v>
      </c>
      <c r="D216">
        <f t="shared" si="4"/>
        <v>1000000</v>
      </c>
      <c r="E216">
        <v>33</v>
      </c>
      <c r="F216" s="26"/>
    </row>
    <row r="217" spans="1:6" x14ac:dyDescent="0.3">
      <c r="A217" s="27" t="s">
        <v>24</v>
      </c>
      <c r="B217" s="27" t="s">
        <v>141</v>
      </c>
      <c r="C217" s="28">
        <v>4.5</v>
      </c>
      <c r="D217">
        <f t="shared" si="4"/>
        <v>1000000</v>
      </c>
      <c r="E217">
        <v>33</v>
      </c>
      <c r="F217" s="26"/>
    </row>
    <row r="218" spans="1:6" x14ac:dyDescent="0.3">
      <c r="A218" s="27" t="s">
        <v>24</v>
      </c>
      <c r="B218" s="27" t="s">
        <v>139</v>
      </c>
      <c r="C218" s="28">
        <v>4.5</v>
      </c>
      <c r="D218">
        <f t="shared" si="4"/>
        <v>1000000</v>
      </c>
      <c r="E218">
        <v>33</v>
      </c>
      <c r="F218" s="26"/>
    </row>
    <row r="219" spans="1:6" x14ac:dyDescent="0.3">
      <c r="A219" s="27" t="s">
        <v>25</v>
      </c>
      <c r="B219" s="27" t="s">
        <v>144</v>
      </c>
      <c r="C219" s="28">
        <v>2.5</v>
      </c>
      <c r="D219">
        <f t="shared" si="4"/>
        <v>1000000</v>
      </c>
      <c r="E219">
        <v>34</v>
      </c>
      <c r="F219" s="26"/>
    </row>
    <row r="220" spans="1:6" x14ac:dyDescent="0.3">
      <c r="A220" s="27" t="s">
        <v>25</v>
      </c>
      <c r="B220" s="27" t="s">
        <v>144</v>
      </c>
      <c r="C220" s="28">
        <v>2.5</v>
      </c>
      <c r="D220">
        <f t="shared" si="4"/>
        <v>1000000</v>
      </c>
      <c r="E220">
        <v>34</v>
      </c>
      <c r="F220" s="26"/>
    </row>
    <row r="221" spans="1:6" x14ac:dyDescent="0.3">
      <c r="A221" s="27" t="s">
        <v>25</v>
      </c>
      <c r="B221" s="27" t="s">
        <v>145</v>
      </c>
      <c r="C221" s="28">
        <v>2.5</v>
      </c>
      <c r="D221">
        <f t="shared" si="4"/>
        <v>1000000</v>
      </c>
      <c r="E221">
        <v>34</v>
      </c>
      <c r="F221" s="26"/>
    </row>
    <row r="222" spans="1:6" x14ac:dyDescent="0.3">
      <c r="A222" s="27" t="s">
        <v>25</v>
      </c>
      <c r="B222" s="27" t="s">
        <v>144</v>
      </c>
      <c r="C222" s="28">
        <v>2.5</v>
      </c>
      <c r="D222">
        <f t="shared" si="4"/>
        <v>1000000</v>
      </c>
      <c r="E222">
        <v>34</v>
      </c>
      <c r="F222" s="26"/>
    </row>
    <row r="223" spans="1:6" x14ac:dyDescent="0.3">
      <c r="A223" s="27" t="s">
        <v>25</v>
      </c>
      <c r="B223" s="27" t="s">
        <v>143</v>
      </c>
      <c r="C223" s="28">
        <v>4.5</v>
      </c>
      <c r="D223">
        <f t="shared" si="4"/>
        <v>1000000</v>
      </c>
      <c r="E223">
        <v>34</v>
      </c>
      <c r="F223" s="26"/>
    </row>
    <row r="224" spans="1:6" x14ac:dyDescent="0.3">
      <c r="A224" s="27" t="s">
        <v>25</v>
      </c>
      <c r="B224" s="27" t="s">
        <v>372</v>
      </c>
      <c r="C224" s="28">
        <v>4.5999999999999996</v>
      </c>
      <c r="D224">
        <f t="shared" si="4"/>
        <v>1000000</v>
      </c>
      <c r="E224">
        <v>34</v>
      </c>
      <c r="F224" s="26"/>
    </row>
    <row r="225" spans="1:6" x14ac:dyDescent="0.3">
      <c r="A225" s="27" t="s">
        <v>25</v>
      </c>
      <c r="B225" s="27" t="s">
        <v>142</v>
      </c>
      <c r="C225" s="28">
        <v>6.2</v>
      </c>
      <c r="D225">
        <f t="shared" si="4"/>
        <v>1000000</v>
      </c>
      <c r="E225">
        <v>34</v>
      </c>
      <c r="F225" s="26"/>
    </row>
    <row r="226" spans="1:6" x14ac:dyDescent="0.3">
      <c r="A226" s="27" t="s">
        <v>25</v>
      </c>
      <c r="B226" s="27" t="s">
        <v>142</v>
      </c>
      <c r="C226" s="28">
        <v>6.2</v>
      </c>
      <c r="D226">
        <f t="shared" si="4"/>
        <v>1000000</v>
      </c>
      <c r="E226">
        <v>34</v>
      </c>
      <c r="F226" s="26"/>
    </row>
    <row r="227" spans="1:6" x14ac:dyDescent="0.3">
      <c r="A227" s="27" t="s">
        <v>25</v>
      </c>
      <c r="B227" s="27" t="s">
        <v>142</v>
      </c>
      <c r="C227" s="28">
        <v>6.2</v>
      </c>
      <c r="D227">
        <f t="shared" si="4"/>
        <v>1000000</v>
      </c>
      <c r="E227">
        <v>34</v>
      </c>
      <c r="F227" s="26"/>
    </row>
    <row r="228" spans="1:6" x14ac:dyDescent="0.3">
      <c r="A228" s="27" t="s">
        <v>26</v>
      </c>
      <c r="B228" s="27" t="s">
        <v>146</v>
      </c>
      <c r="C228" s="28">
        <v>1</v>
      </c>
      <c r="D228">
        <f t="shared" si="4"/>
        <v>1000000</v>
      </c>
      <c r="E228">
        <v>35</v>
      </c>
      <c r="F228" s="26"/>
    </row>
    <row r="229" spans="1:6" x14ac:dyDescent="0.3">
      <c r="A229" s="27" t="s">
        <v>26</v>
      </c>
      <c r="B229" s="27" t="s">
        <v>146</v>
      </c>
      <c r="C229" s="28">
        <v>1</v>
      </c>
      <c r="D229">
        <f t="shared" si="4"/>
        <v>1000000</v>
      </c>
      <c r="E229">
        <v>35</v>
      </c>
      <c r="F229" s="26"/>
    </row>
    <row r="230" spans="1:6" x14ac:dyDescent="0.3">
      <c r="A230" s="27" t="s">
        <v>26</v>
      </c>
      <c r="B230" s="27" t="s">
        <v>146</v>
      </c>
      <c r="C230" s="28">
        <v>1</v>
      </c>
      <c r="D230">
        <f t="shared" si="4"/>
        <v>1000000</v>
      </c>
      <c r="E230">
        <v>35</v>
      </c>
      <c r="F230" s="26"/>
    </row>
    <row r="231" spans="1:6" x14ac:dyDescent="0.3">
      <c r="A231" s="27" t="s">
        <v>26</v>
      </c>
      <c r="B231" s="27" t="s">
        <v>147</v>
      </c>
      <c r="C231" s="28">
        <v>2.4</v>
      </c>
      <c r="D231">
        <f t="shared" si="4"/>
        <v>1000000</v>
      </c>
      <c r="E231">
        <v>35</v>
      </c>
      <c r="F231" s="26"/>
    </row>
    <row r="232" spans="1:6" x14ac:dyDescent="0.3">
      <c r="A232" s="27" t="s">
        <v>26</v>
      </c>
      <c r="B232" s="27" t="s">
        <v>147</v>
      </c>
      <c r="C232" s="28">
        <v>2.4</v>
      </c>
      <c r="D232">
        <f t="shared" si="4"/>
        <v>1000000</v>
      </c>
      <c r="E232">
        <v>35</v>
      </c>
      <c r="F232" s="26"/>
    </row>
    <row r="233" spans="1:6" x14ac:dyDescent="0.3">
      <c r="A233" s="27" t="s">
        <v>26</v>
      </c>
      <c r="B233" s="27" t="s">
        <v>147</v>
      </c>
      <c r="C233" s="28">
        <v>2.4</v>
      </c>
      <c r="D233">
        <f t="shared" si="4"/>
        <v>1000000</v>
      </c>
      <c r="E233">
        <v>35</v>
      </c>
      <c r="F233" s="26"/>
    </row>
    <row r="234" spans="1:6" x14ac:dyDescent="0.3">
      <c r="A234" s="27" t="s">
        <v>26</v>
      </c>
      <c r="B234" s="27" t="s">
        <v>149</v>
      </c>
      <c r="C234" s="28">
        <v>3.8</v>
      </c>
      <c r="D234">
        <f t="shared" si="4"/>
        <v>1000000</v>
      </c>
      <c r="E234">
        <v>35</v>
      </c>
      <c r="F234" s="26"/>
    </row>
    <row r="235" spans="1:6" x14ac:dyDescent="0.3">
      <c r="A235" s="27" t="s">
        <v>26</v>
      </c>
      <c r="B235" s="27" t="s">
        <v>148</v>
      </c>
      <c r="C235" s="28">
        <v>4.0999999999999996</v>
      </c>
      <c r="D235">
        <f t="shared" si="4"/>
        <v>1000000</v>
      </c>
      <c r="E235">
        <v>35</v>
      </c>
      <c r="F235" s="26"/>
    </row>
    <row r="236" spans="1:6" x14ac:dyDescent="0.3">
      <c r="A236" s="27" t="s">
        <v>26</v>
      </c>
      <c r="B236" s="27" t="s">
        <v>148</v>
      </c>
      <c r="C236" s="28">
        <v>4.0999999999999996</v>
      </c>
      <c r="D236">
        <f t="shared" si="4"/>
        <v>1000000</v>
      </c>
      <c r="E236">
        <v>35</v>
      </c>
      <c r="F236" s="26"/>
    </row>
    <row r="237" spans="1:6" x14ac:dyDescent="0.3">
      <c r="A237" s="27" t="s">
        <v>26</v>
      </c>
      <c r="B237" s="27" t="s">
        <v>373</v>
      </c>
      <c r="C237" s="28">
        <v>4.0999999999999996</v>
      </c>
      <c r="D237">
        <f t="shared" si="4"/>
        <v>1000000</v>
      </c>
      <c r="E237">
        <v>35</v>
      </c>
      <c r="F237" s="26"/>
    </row>
    <row r="238" spans="1:6" x14ac:dyDescent="0.3">
      <c r="A238" s="27" t="s">
        <v>26</v>
      </c>
      <c r="B238" s="27" t="s">
        <v>148</v>
      </c>
      <c r="C238" s="28">
        <v>4.0999999999999996</v>
      </c>
      <c r="D238">
        <f t="shared" si="4"/>
        <v>1000000</v>
      </c>
      <c r="E238">
        <v>35</v>
      </c>
      <c r="F238" s="26"/>
    </row>
    <row r="239" spans="1:6" x14ac:dyDescent="0.3">
      <c r="A239" s="27" t="s">
        <v>26</v>
      </c>
      <c r="B239" s="27" t="s">
        <v>374</v>
      </c>
      <c r="C239" s="28">
        <v>4.0999999999999996</v>
      </c>
      <c r="D239">
        <f t="shared" si="4"/>
        <v>1000000</v>
      </c>
      <c r="E239">
        <v>35</v>
      </c>
      <c r="F239" s="26"/>
    </row>
    <row r="240" spans="1:6" x14ac:dyDescent="0.3">
      <c r="A240" s="27" t="s">
        <v>27</v>
      </c>
      <c r="B240" s="27" t="s">
        <v>151</v>
      </c>
      <c r="C240" s="28">
        <v>6.1</v>
      </c>
      <c r="D240">
        <f t="shared" si="4"/>
        <v>1000000</v>
      </c>
      <c r="E240">
        <v>36</v>
      </c>
      <c r="F240" s="26"/>
    </row>
    <row r="241" spans="1:6" x14ac:dyDescent="0.3">
      <c r="A241" s="27" t="s">
        <v>27</v>
      </c>
      <c r="B241" s="27" t="s">
        <v>150</v>
      </c>
      <c r="C241" s="28">
        <v>12.5</v>
      </c>
      <c r="D241">
        <f t="shared" si="4"/>
        <v>1000000</v>
      </c>
      <c r="E241">
        <v>36</v>
      </c>
      <c r="F241" s="26"/>
    </row>
    <row r="242" spans="1:6" x14ac:dyDescent="0.3">
      <c r="A242" s="27" t="s">
        <v>28</v>
      </c>
      <c r="B242" s="27" t="s">
        <v>154</v>
      </c>
      <c r="C242" s="28">
        <v>3.1</v>
      </c>
      <c r="D242">
        <f t="shared" si="4"/>
        <v>1000000</v>
      </c>
      <c r="E242">
        <v>37</v>
      </c>
      <c r="F242" s="26"/>
    </row>
    <row r="243" spans="1:6" x14ac:dyDescent="0.3">
      <c r="A243" s="27" t="s">
        <v>28</v>
      </c>
      <c r="B243" s="27" t="s">
        <v>155</v>
      </c>
      <c r="C243" s="28">
        <v>3.1</v>
      </c>
      <c r="D243">
        <f t="shared" si="4"/>
        <v>1000000</v>
      </c>
      <c r="E243">
        <v>37</v>
      </c>
      <c r="F243" s="26"/>
    </row>
    <row r="244" spans="1:6" x14ac:dyDescent="0.3">
      <c r="A244" s="27" t="s">
        <v>28</v>
      </c>
      <c r="B244" s="27" t="s">
        <v>154</v>
      </c>
      <c r="C244" s="28">
        <v>3.1</v>
      </c>
      <c r="D244">
        <f t="shared" si="4"/>
        <v>1000000</v>
      </c>
      <c r="E244">
        <v>37</v>
      </c>
      <c r="F244" s="26"/>
    </row>
    <row r="245" spans="1:6" x14ac:dyDescent="0.3">
      <c r="A245" s="27" t="s">
        <v>28</v>
      </c>
      <c r="B245" s="27" t="s">
        <v>155</v>
      </c>
      <c r="C245" s="28">
        <v>3.1</v>
      </c>
      <c r="D245">
        <f t="shared" si="4"/>
        <v>1000000</v>
      </c>
      <c r="E245">
        <v>37</v>
      </c>
      <c r="F245" s="26"/>
    </row>
    <row r="246" spans="1:6" x14ac:dyDescent="0.3">
      <c r="A246" s="27" t="s">
        <v>28</v>
      </c>
      <c r="B246" s="27" t="s">
        <v>153</v>
      </c>
      <c r="C246" s="28">
        <v>3.5</v>
      </c>
      <c r="D246">
        <f t="shared" si="4"/>
        <v>1000000</v>
      </c>
      <c r="E246">
        <v>37</v>
      </c>
      <c r="F246" s="26"/>
    </row>
    <row r="247" spans="1:6" x14ac:dyDescent="0.3">
      <c r="A247" s="27" t="s">
        <v>28</v>
      </c>
      <c r="B247" s="27" t="s">
        <v>152</v>
      </c>
      <c r="C247" s="28">
        <v>4.5</v>
      </c>
      <c r="D247">
        <f t="shared" si="4"/>
        <v>1000000</v>
      </c>
      <c r="E247">
        <v>37</v>
      </c>
      <c r="F247" s="26"/>
    </row>
    <row r="248" spans="1:6" x14ac:dyDescent="0.3">
      <c r="A248" s="27" t="s">
        <v>28</v>
      </c>
      <c r="B248" s="27" t="s">
        <v>152</v>
      </c>
      <c r="C248" s="28">
        <v>4.5</v>
      </c>
      <c r="D248">
        <f t="shared" si="4"/>
        <v>1000000</v>
      </c>
      <c r="E248">
        <v>37</v>
      </c>
      <c r="F248" s="26"/>
    </row>
    <row r="249" spans="1:6" x14ac:dyDescent="0.3">
      <c r="A249" s="27" t="s">
        <v>28</v>
      </c>
      <c r="B249" s="27" t="s">
        <v>152</v>
      </c>
      <c r="C249" s="28">
        <v>4.5</v>
      </c>
      <c r="D249">
        <f t="shared" si="4"/>
        <v>1000000</v>
      </c>
      <c r="E249">
        <v>37</v>
      </c>
      <c r="F249" s="26"/>
    </row>
    <row r="250" spans="1:6" x14ac:dyDescent="0.3">
      <c r="A250" s="27" t="s">
        <v>29</v>
      </c>
      <c r="B250" s="27" t="s">
        <v>157</v>
      </c>
      <c r="C250" s="28">
        <v>0.6</v>
      </c>
      <c r="D250">
        <f t="shared" si="4"/>
        <v>1000000</v>
      </c>
      <c r="E250">
        <v>38</v>
      </c>
      <c r="F250" s="26"/>
    </row>
    <row r="251" spans="1:6" x14ac:dyDescent="0.3">
      <c r="A251" s="27" t="s">
        <v>29</v>
      </c>
      <c r="B251" s="27" t="s">
        <v>157</v>
      </c>
      <c r="C251" s="28">
        <v>0.6</v>
      </c>
      <c r="D251">
        <f t="shared" si="4"/>
        <v>1000000</v>
      </c>
      <c r="E251">
        <v>38</v>
      </c>
      <c r="F251" s="26"/>
    </row>
    <row r="252" spans="1:6" x14ac:dyDescent="0.3">
      <c r="A252" s="27" t="s">
        <v>29</v>
      </c>
      <c r="B252" s="27" t="s">
        <v>158</v>
      </c>
      <c r="C252" s="28">
        <v>2.8</v>
      </c>
      <c r="D252">
        <f t="shared" si="4"/>
        <v>1000000</v>
      </c>
      <c r="E252">
        <v>38</v>
      </c>
      <c r="F252" s="26"/>
    </row>
    <row r="253" spans="1:6" x14ac:dyDescent="0.3">
      <c r="A253" s="27" t="s">
        <v>29</v>
      </c>
      <c r="B253" s="27" t="s">
        <v>158</v>
      </c>
      <c r="C253" s="28">
        <v>2.8</v>
      </c>
      <c r="D253">
        <f t="shared" si="4"/>
        <v>1000000</v>
      </c>
      <c r="E253">
        <v>38</v>
      </c>
      <c r="F253" s="26"/>
    </row>
    <row r="254" spans="1:6" x14ac:dyDescent="0.3">
      <c r="A254" s="27" t="s">
        <v>29</v>
      </c>
      <c r="B254" s="27" t="s">
        <v>375</v>
      </c>
      <c r="C254" s="28">
        <v>3.1</v>
      </c>
      <c r="D254">
        <f t="shared" si="4"/>
        <v>1000000</v>
      </c>
      <c r="E254">
        <v>38</v>
      </c>
      <c r="F254" s="26"/>
    </row>
    <row r="255" spans="1:6" x14ac:dyDescent="0.3">
      <c r="A255" s="27" t="s">
        <v>29</v>
      </c>
      <c r="B255" s="27" t="s">
        <v>156</v>
      </c>
      <c r="C255" s="28">
        <v>9.1999999999999993</v>
      </c>
      <c r="D255">
        <f t="shared" si="4"/>
        <v>1000000</v>
      </c>
      <c r="E255">
        <v>38</v>
      </c>
      <c r="F255" s="26"/>
    </row>
    <row r="256" spans="1:6" x14ac:dyDescent="0.3">
      <c r="A256" s="27" t="s">
        <v>29</v>
      </c>
      <c r="B256" s="27" t="s">
        <v>156</v>
      </c>
      <c r="C256" s="28">
        <v>9.1999999999999993</v>
      </c>
      <c r="D256">
        <f t="shared" si="4"/>
        <v>1000000</v>
      </c>
      <c r="E256">
        <v>38</v>
      </c>
      <c r="F256" s="26"/>
    </row>
    <row r="257" spans="1:6" x14ac:dyDescent="0.3">
      <c r="A257" s="27" t="s">
        <v>57</v>
      </c>
      <c r="B257" s="27" t="s">
        <v>162</v>
      </c>
      <c r="C257" s="28">
        <v>2.5</v>
      </c>
      <c r="D257">
        <f t="shared" si="4"/>
        <v>1000000</v>
      </c>
      <c r="E257">
        <v>39</v>
      </c>
      <c r="F257" s="26"/>
    </row>
    <row r="258" spans="1:6" x14ac:dyDescent="0.3">
      <c r="A258" s="27" t="s">
        <v>57</v>
      </c>
      <c r="B258" s="27" t="s">
        <v>162</v>
      </c>
      <c r="C258" s="28">
        <v>2.5</v>
      </c>
      <c r="D258">
        <f t="shared" si="4"/>
        <v>1000000</v>
      </c>
      <c r="E258">
        <v>39</v>
      </c>
      <c r="F258" s="26"/>
    </row>
    <row r="259" spans="1:6" x14ac:dyDescent="0.3">
      <c r="A259" s="27" t="s">
        <v>57</v>
      </c>
      <c r="B259" s="27" t="s">
        <v>160</v>
      </c>
      <c r="C259" s="28">
        <v>3.1</v>
      </c>
      <c r="D259">
        <f t="shared" si="4"/>
        <v>1000000</v>
      </c>
      <c r="E259">
        <v>39</v>
      </c>
      <c r="F259" s="26"/>
    </row>
    <row r="260" spans="1:6" x14ac:dyDescent="0.3">
      <c r="A260" s="27" t="s">
        <v>57</v>
      </c>
      <c r="B260" s="27" t="s">
        <v>161</v>
      </c>
      <c r="C260" s="28">
        <v>3.1</v>
      </c>
      <c r="D260">
        <f t="shared" si="4"/>
        <v>1000000</v>
      </c>
      <c r="E260">
        <v>39</v>
      </c>
      <c r="F260" s="26"/>
    </row>
    <row r="261" spans="1:6" x14ac:dyDescent="0.3">
      <c r="A261" s="27" t="s">
        <v>57</v>
      </c>
      <c r="B261" s="27" t="s">
        <v>159</v>
      </c>
      <c r="C261" s="28">
        <v>5.5</v>
      </c>
      <c r="D261">
        <f t="shared" si="4"/>
        <v>1000000</v>
      </c>
      <c r="E261">
        <v>39</v>
      </c>
      <c r="F261" s="26"/>
    </row>
    <row r="262" spans="1:6" x14ac:dyDescent="0.3">
      <c r="A262" s="27" t="s">
        <v>57</v>
      </c>
      <c r="B262" s="27" t="s">
        <v>159</v>
      </c>
      <c r="C262" s="28">
        <v>5.5</v>
      </c>
      <c r="D262">
        <f t="shared" si="4"/>
        <v>1000000</v>
      </c>
      <c r="E262">
        <v>39</v>
      </c>
      <c r="F262" s="26"/>
    </row>
    <row r="263" spans="1:6" x14ac:dyDescent="0.3">
      <c r="A263" s="27" t="s">
        <v>57</v>
      </c>
      <c r="B263" s="27" t="s">
        <v>376</v>
      </c>
      <c r="C263" s="28">
        <v>8.4</v>
      </c>
      <c r="D263">
        <f t="shared" si="4"/>
        <v>1000000</v>
      </c>
      <c r="E263">
        <v>39</v>
      </c>
      <c r="F263" s="26"/>
    </row>
    <row r="264" spans="1:6" x14ac:dyDescent="0.3">
      <c r="A264" s="27" t="s">
        <v>377</v>
      </c>
      <c r="B264" s="27" t="s">
        <v>379</v>
      </c>
      <c r="C264" s="28">
        <v>5.8</v>
      </c>
      <c r="D264">
        <f t="shared" si="4"/>
        <v>1000000</v>
      </c>
      <c r="E264">
        <v>40</v>
      </c>
      <c r="F264" s="26"/>
    </row>
    <row r="265" spans="1:6" x14ac:dyDescent="0.3">
      <c r="A265" s="27" t="s">
        <v>377</v>
      </c>
      <c r="B265" s="27" t="s">
        <v>378</v>
      </c>
      <c r="C265" s="28">
        <v>6.1</v>
      </c>
      <c r="D265">
        <f t="shared" ref="D265:D328" si="5">IF(F265="Sabit",999999999,1000000)</f>
        <v>1000000</v>
      </c>
      <c r="E265">
        <v>40</v>
      </c>
      <c r="F265" s="26"/>
    </row>
    <row r="266" spans="1:6" x14ac:dyDescent="0.3">
      <c r="A266" s="27" t="s">
        <v>32</v>
      </c>
      <c r="B266" s="27" t="s">
        <v>163</v>
      </c>
      <c r="C266" s="28">
        <v>0.5</v>
      </c>
      <c r="D266">
        <f t="shared" si="5"/>
        <v>1000000</v>
      </c>
      <c r="E266">
        <v>41</v>
      </c>
      <c r="F266" s="26"/>
    </row>
    <row r="267" spans="1:6" x14ac:dyDescent="0.3">
      <c r="A267" s="27" t="s">
        <v>32</v>
      </c>
      <c r="B267" s="27" t="s">
        <v>167</v>
      </c>
      <c r="C267" s="28">
        <v>0.5</v>
      </c>
      <c r="D267">
        <f t="shared" si="5"/>
        <v>1000000</v>
      </c>
      <c r="E267">
        <v>41</v>
      </c>
      <c r="F267" s="26"/>
    </row>
    <row r="268" spans="1:6" x14ac:dyDescent="0.3">
      <c r="A268" s="27" t="s">
        <v>32</v>
      </c>
      <c r="B268" s="27" t="s">
        <v>165</v>
      </c>
      <c r="C268" s="28">
        <v>5.0999999999999996</v>
      </c>
      <c r="D268">
        <f t="shared" si="5"/>
        <v>1000000</v>
      </c>
      <c r="E268">
        <v>41</v>
      </c>
      <c r="F268" s="26"/>
    </row>
    <row r="269" spans="1:6" x14ac:dyDescent="0.3">
      <c r="A269" s="27" t="s">
        <v>32</v>
      </c>
      <c r="B269" s="27" t="s">
        <v>164</v>
      </c>
      <c r="C269" s="28">
        <v>5.8</v>
      </c>
      <c r="D269">
        <f t="shared" si="5"/>
        <v>1000000</v>
      </c>
      <c r="E269">
        <v>41</v>
      </c>
      <c r="F269" s="26"/>
    </row>
    <row r="270" spans="1:6" x14ac:dyDescent="0.3">
      <c r="A270" s="27" t="s">
        <v>32</v>
      </c>
      <c r="B270" s="27" t="s">
        <v>166</v>
      </c>
      <c r="C270" s="28">
        <v>6.8</v>
      </c>
      <c r="D270">
        <f t="shared" si="5"/>
        <v>1000000</v>
      </c>
      <c r="E270">
        <v>41</v>
      </c>
      <c r="F270" s="26"/>
    </row>
    <row r="271" spans="1:6" x14ac:dyDescent="0.3">
      <c r="A271" s="27" t="s">
        <v>33</v>
      </c>
      <c r="B271" s="27" t="s">
        <v>168</v>
      </c>
      <c r="C271" s="28">
        <v>3.1</v>
      </c>
      <c r="D271">
        <f t="shared" si="5"/>
        <v>1000000</v>
      </c>
      <c r="E271">
        <v>42</v>
      </c>
      <c r="F271" s="26"/>
    </row>
    <row r="272" spans="1:6" x14ac:dyDescent="0.3">
      <c r="A272" s="27" t="s">
        <v>33</v>
      </c>
      <c r="B272" s="27" t="s">
        <v>168</v>
      </c>
      <c r="C272" s="28">
        <v>3.1</v>
      </c>
      <c r="D272">
        <f t="shared" si="5"/>
        <v>1000000</v>
      </c>
      <c r="E272">
        <v>42</v>
      </c>
      <c r="F272" s="26"/>
    </row>
    <row r="273" spans="1:6" x14ac:dyDescent="0.3">
      <c r="A273" s="27" t="s">
        <v>33</v>
      </c>
      <c r="B273" s="27" t="s">
        <v>168</v>
      </c>
      <c r="C273" s="28">
        <v>4.0999999999999996</v>
      </c>
      <c r="D273">
        <f t="shared" si="5"/>
        <v>1000000</v>
      </c>
      <c r="E273">
        <v>42</v>
      </c>
      <c r="F273" s="26"/>
    </row>
    <row r="274" spans="1:6" x14ac:dyDescent="0.3">
      <c r="A274" s="27" t="s">
        <v>33</v>
      </c>
      <c r="B274" s="27" t="s">
        <v>380</v>
      </c>
      <c r="C274" s="28">
        <v>4.0999999999999996</v>
      </c>
      <c r="D274">
        <f t="shared" si="5"/>
        <v>1000000</v>
      </c>
      <c r="E274">
        <v>42</v>
      </c>
      <c r="F274" s="26"/>
    </row>
    <row r="275" spans="1:6" x14ac:dyDescent="0.3">
      <c r="A275" s="27" t="s">
        <v>33</v>
      </c>
      <c r="B275" s="27" t="s">
        <v>169</v>
      </c>
      <c r="C275" s="28">
        <v>4.9000000000000004</v>
      </c>
      <c r="D275">
        <f t="shared" si="5"/>
        <v>1000000</v>
      </c>
      <c r="E275">
        <v>42</v>
      </c>
      <c r="F275" s="26"/>
    </row>
    <row r="276" spans="1:6" x14ac:dyDescent="0.3">
      <c r="A276" s="27" t="s">
        <v>33</v>
      </c>
      <c r="B276" s="27" t="s">
        <v>169</v>
      </c>
      <c r="C276" s="28">
        <v>4.9000000000000004</v>
      </c>
      <c r="D276">
        <f t="shared" si="5"/>
        <v>1000000</v>
      </c>
      <c r="E276">
        <v>42</v>
      </c>
      <c r="F276" s="26"/>
    </row>
    <row r="277" spans="1:6" x14ac:dyDescent="0.3">
      <c r="A277" s="27" t="s">
        <v>33</v>
      </c>
      <c r="B277" s="27" t="s">
        <v>169</v>
      </c>
      <c r="C277" s="28">
        <v>4.9000000000000004</v>
      </c>
      <c r="D277">
        <f t="shared" si="5"/>
        <v>1000000</v>
      </c>
      <c r="E277">
        <v>42</v>
      </c>
      <c r="F277" s="26"/>
    </row>
    <row r="278" spans="1:6" x14ac:dyDescent="0.3">
      <c r="A278" s="27" t="s">
        <v>33</v>
      </c>
      <c r="B278" s="27" t="s">
        <v>381</v>
      </c>
      <c r="C278" s="28">
        <v>5.6</v>
      </c>
      <c r="D278">
        <f t="shared" si="5"/>
        <v>1000000</v>
      </c>
      <c r="E278">
        <v>42</v>
      </c>
      <c r="F278" s="26"/>
    </row>
    <row r="279" spans="1:6" x14ac:dyDescent="0.3">
      <c r="A279" s="27" t="s">
        <v>33</v>
      </c>
      <c r="B279" s="27" t="s">
        <v>170</v>
      </c>
      <c r="C279" s="28">
        <v>6.5</v>
      </c>
      <c r="D279">
        <f t="shared" si="5"/>
        <v>1000000</v>
      </c>
      <c r="E279">
        <v>42</v>
      </c>
      <c r="F279" s="26"/>
    </row>
    <row r="280" spans="1:6" x14ac:dyDescent="0.3">
      <c r="A280" s="27" t="s">
        <v>33</v>
      </c>
      <c r="B280" s="27" t="s">
        <v>170</v>
      </c>
      <c r="C280" s="28">
        <v>6.5</v>
      </c>
      <c r="D280">
        <f t="shared" si="5"/>
        <v>1000000</v>
      </c>
      <c r="E280">
        <v>42</v>
      </c>
      <c r="F280" s="26"/>
    </row>
    <row r="281" spans="1:6" x14ac:dyDescent="0.3">
      <c r="A281" s="37" t="s">
        <v>284</v>
      </c>
      <c r="B281" s="37" t="s">
        <v>294</v>
      </c>
      <c r="C281" s="28">
        <v>3.1</v>
      </c>
      <c r="D281">
        <f t="shared" si="5"/>
        <v>1000000</v>
      </c>
      <c r="E281">
        <v>43</v>
      </c>
      <c r="F281" s="26"/>
    </row>
    <row r="282" spans="1:6" x14ac:dyDescent="0.3">
      <c r="A282" s="37" t="s">
        <v>284</v>
      </c>
      <c r="B282" s="37" t="s">
        <v>296</v>
      </c>
      <c r="C282" s="28">
        <v>3.1</v>
      </c>
      <c r="D282">
        <f t="shared" si="5"/>
        <v>1000000</v>
      </c>
      <c r="E282">
        <v>43</v>
      </c>
      <c r="F282" s="26"/>
    </row>
    <row r="283" spans="1:6" x14ac:dyDescent="0.3">
      <c r="A283" s="37" t="s">
        <v>284</v>
      </c>
      <c r="B283" s="37" t="s">
        <v>295</v>
      </c>
      <c r="C283" s="28">
        <v>3.8</v>
      </c>
      <c r="D283">
        <f t="shared" si="5"/>
        <v>1000000</v>
      </c>
      <c r="E283">
        <v>43</v>
      </c>
      <c r="F283" s="26"/>
    </row>
    <row r="284" spans="1:6" x14ac:dyDescent="0.3">
      <c r="A284" s="37" t="s">
        <v>284</v>
      </c>
      <c r="B284" s="37" t="s">
        <v>295</v>
      </c>
      <c r="C284" s="28">
        <v>4.0999999999999996</v>
      </c>
      <c r="D284">
        <f t="shared" si="5"/>
        <v>1000000</v>
      </c>
      <c r="E284">
        <v>43</v>
      </c>
      <c r="F284" s="26"/>
    </row>
    <row r="285" spans="1:6" x14ac:dyDescent="0.3">
      <c r="A285" s="37" t="s">
        <v>284</v>
      </c>
      <c r="B285" s="37" t="s">
        <v>294</v>
      </c>
      <c r="C285" s="28">
        <v>4.0999999999999996</v>
      </c>
      <c r="D285">
        <f t="shared" si="5"/>
        <v>1000000</v>
      </c>
      <c r="E285">
        <v>43</v>
      </c>
      <c r="F285" s="26"/>
    </row>
    <row r="286" spans="1:6" x14ac:dyDescent="0.3">
      <c r="A286" s="37" t="s">
        <v>284</v>
      </c>
      <c r="B286" s="37" t="s">
        <v>296</v>
      </c>
      <c r="C286" s="28">
        <v>5.0999999999999996</v>
      </c>
      <c r="D286">
        <f t="shared" si="5"/>
        <v>1000000</v>
      </c>
      <c r="E286">
        <v>43</v>
      </c>
      <c r="F286" s="26"/>
    </row>
    <row r="287" spans="1:6" x14ac:dyDescent="0.3">
      <c r="A287" s="27" t="s">
        <v>34</v>
      </c>
      <c r="B287" s="27" t="s">
        <v>171</v>
      </c>
      <c r="C287" s="28">
        <v>0.5</v>
      </c>
      <c r="D287">
        <f t="shared" si="5"/>
        <v>1000000</v>
      </c>
      <c r="E287">
        <v>44</v>
      </c>
      <c r="F287" s="26"/>
    </row>
    <row r="288" spans="1:6" x14ac:dyDescent="0.3">
      <c r="A288" s="27" t="s">
        <v>34</v>
      </c>
      <c r="B288" s="27" t="s">
        <v>175</v>
      </c>
      <c r="C288" s="28">
        <v>0.5</v>
      </c>
      <c r="D288">
        <f t="shared" si="5"/>
        <v>1000000</v>
      </c>
      <c r="E288">
        <v>44</v>
      </c>
      <c r="F288" s="26"/>
    </row>
    <row r="289" spans="1:6" x14ac:dyDescent="0.3">
      <c r="A289" s="27" t="s">
        <v>34</v>
      </c>
      <c r="B289" s="27" t="s">
        <v>173</v>
      </c>
      <c r="C289" s="28">
        <v>5.4</v>
      </c>
      <c r="D289">
        <f t="shared" si="5"/>
        <v>1000000</v>
      </c>
      <c r="E289">
        <v>44</v>
      </c>
      <c r="F289" s="26"/>
    </row>
    <row r="290" spans="1:6" x14ac:dyDescent="0.3">
      <c r="A290" s="27" t="s">
        <v>34</v>
      </c>
      <c r="B290" s="27" t="s">
        <v>174</v>
      </c>
      <c r="C290" s="28">
        <v>6.1</v>
      </c>
      <c r="D290">
        <f t="shared" si="5"/>
        <v>1000000</v>
      </c>
      <c r="E290">
        <v>44</v>
      </c>
      <c r="F290" s="26"/>
    </row>
    <row r="291" spans="1:6" x14ac:dyDescent="0.3">
      <c r="A291" s="27" t="s">
        <v>34</v>
      </c>
      <c r="B291" s="27" t="s">
        <v>172</v>
      </c>
      <c r="C291" s="28">
        <v>6.9</v>
      </c>
      <c r="D291">
        <f t="shared" si="5"/>
        <v>1000000</v>
      </c>
      <c r="E291">
        <v>44</v>
      </c>
      <c r="F291" s="26"/>
    </row>
    <row r="292" spans="1:6" x14ac:dyDescent="0.3">
      <c r="A292" s="30" t="s">
        <v>382</v>
      </c>
      <c r="B292" s="38" t="s">
        <v>474</v>
      </c>
      <c r="C292" s="31">
        <v>1</v>
      </c>
      <c r="D292">
        <f t="shared" si="5"/>
        <v>999999999</v>
      </c>
      <c r="E292">
        <v>45</v>
      </c>
      <c r="F292" s="29" t="s">
        <v>577</v>
      </c>
    </row>
    <row r="293" spans="1:6" x14ac:dyDescent="0.3">
      <c r="A293" s="30" t="s">
        <v>382</v>
      </c>
      <c r="B293" s="38" t="s">
        <v>475</v>
      </c>
      <c r="C293" s="31">
        <v>1</v>
      </c>
      <c r="D293">
        <f t="shared" si="5"/>
        <v>999999999</v>
      </c>
      <c r="E293">
        <v>45</v>
      </c>
      <c r="F293" s="29" t="s">
        <v>577</v>
      </c>
    </row>
    <row r="294" spans="1:6" x14ac:dyDescent="0.3">
      <c r="A294" s="30" t="s">
        <v>382</v>
      </c>
      <c r="B294" s="38" t="s">
        <v>474</v>
      </c>
      <c r="C294" s="31">
        <v>1</v>
      </c>
      <c r="D294">
        <f t="shared" si="5"/>
        <v>999999999</v>
      </c>
      <c r="E294">
        <v>45</v>
      </c>
      <c r="F294" s="29" t="s">
        <v>577</v>
      </c>
    </row>
    <row r="295" spans="1:6" x14ac:dyDescent="0.3">
      <c r="A295" s="30" t="s">
        <v>382</v>
      </c>
      <c r="B295" s="38" t="s">
        <v>475</v>
      </c>
      <c r="C295" s="31">
        <v>1</v>
      </c>
      <c r="D295">
        <f t="shared" si="5"/>
        <v>999999999</v>
      </c>
      <c r="E295">
        <v>45</v>
      </c>
      <c r="F295" s="29" t="s">
        <v>577</v>
      </c>
    </row>
    <row r="296" spans="1:6" x14ac:dyDescent="0.3">
      <c r="A296" s="30" t="s">
        <v>382</v>
      </c>
      <c r="B296" s="38" t="s">
        <v>473</v>
      </c>
      <c r="C296" s="31">
        <v>2.1</v>
      </c>
      <c r="D296">
        <f t="shared" si="5"/>
        <v>999999999</v>
      </c>
      <c r="E296">
        <v>45</v>
      </c>
      <c r="F296" s="29" t="s">
        <v>577</v>
      </c>
    </row>
    <row r="297" spans="1:6" x14ac:dyDescent="0.3">
      <c r="A297" s="30" t="s">
        <v>382</v>
      </c>
      <c r="B297" s="38" t="s">
        <v>473</v>
      </c>
      <c r="C297" s="31">
        <v>2.1</v>
      </c>
      <c r="D297">
        <f t="shared" si="5"/>
        <v>999999999</v>
      </c>
      <c r="E297">
        <v>45</v>
      </c>
      <c r="F297" s="29" t="s">
        <v>577</v>
      </c>
    </row>
    <row r="298" spans="1:6" x14ac:dyDescent="0.3">
      <c r="A298" s="30" t="s">
        <v>382</v>
      </c>
      <c r="B298" s="38" t="s">
        <v>477</v>
      </c>
      <c r="C298" s="31">
        <v>3.5</v>
      </c>
      <c r="D298">
        <f t="shared" si="5"/>
        <v>999999999</v>
      </c>
      <c r="E298">
        <v>45</v>
      </c>
      <c r="F298" s="29" t="s">
        <v>577</v>
      </c>
    </row>
    <row r="299" spans="1:6" x14ac:dyDescent="0.3">
      <c r="A299" s="30" t="s">
        <v>382</v>
      </c>
      <c r="B299" s="38" t="s">
        <v>472</v>
      </c>
      <c r="C299" s="31">
        <v>4.9000000000000004</v>
      </c>
      <c r="D299">
        <f t="shared" si="5"/>
        <v>999999999</v>
      </c>
      <c r="E299">
        <v>45</v>
      </c>
      <c r="F299" s="29" t="s">
        <v>577</v>
      </c>
    </row>
    <row r="300" spans="1:6" x14ac:dyDescent="0.3">
      <c r="A300" s="30" t="s">
        <v>382</v>
      </c>
      <c r="B300" s="38" t="s">
        <v>472</v>
      </c>
      <c r="C300" s="31">
        <v>4.9000000000000004</v>
      </c>
      <c r="D300">
        <f t="shared" si="5"/>
        <v>999999999</v>
      </c>
      <c r="E300">
        <v>45</v>
      </c>
      <c r="F300" s="29" t="s">
        <v>577</v>
      </c>
    </row>
    <row r="301" spans="1:6" x14ac:dyDescent="0.3">
      <c r="A301" s="30" t="s">
        <v>382</v>
      </c>
      <c r="B301" s="38" t="s">
        <v>471</v>
      </c>
      <c r="C301" s="31">
        <v>11.3</v>
      </c>
      <c r="D301">
        <f t="shared" si="5"/>
        <v>999999999</v>
      </c>
      <c r="E301">
        <v>45</v>
      </c>
      <c r="F301" s="29" t="s">
        <v>577</v>
      </c>
    </row>
    <row r="302" spans="1:6" x14ac:dyDescent="0.3">
      <c r="A302" s="30" t="s">
        <v>382</v>
      </c>
      <c r="B302" s="38" t="s">
        <v>476</v>
      </c>
      <c r="C302" s="31">
        <v>11.3</v>
      </c>
      <c r="D302">
        <f t="shared" si="5"/>
        <v>999999999</v>
      </c>
      <c r="E302">
        <v>45</v>
      </c>
      <c r="F302" s="29" t="s">
        <v>577</v>
      </c>
    </row>
    <row r="303" spans="1:6" x14ac:dyDescent="0.3">
      <c r="A303" s="27" t="s">
        <v>35</v>
      </c>
      <c r="B303" s="27" t="s">
        <v>176</v>
      </c>
      <c r="C303" s="28">
        <v>0.5</v>
      </c>
      <c r="D303">
        <f t="shared" si="5"/>
        <v>999999999</v>
      </c>
      <c r="E303">
        <v>46</v>
      </c>
      <c r="F303" s="26" t="s">
        <v>577</v>
      </c>
    </row>
    <row r="304" spans="1:6" x14ac:dyDescent="0.3">
      <c r="A304" s="27" t="s">
        <v>35</v>
      </c>
      <c r="B304" s="27" t="s">
        <v>180</v>
      </c>
      <c r="C304" s="28">
        <v>0.5</v>
      </c>
      <c r="D304">
        <f t="shared" si="5"/>
        <v>999999999</v>
      </c>
      <c r="E304">
        <v>46</v>
      </c>
      <c r="F304" s="26" t="s">
        <v>577</v>
      </c>
    </row>
    <row r="305" spans="1:6" x14ac:dyDescent="0.3">
      <c r="A305" s="27" t="s">
        <v>35</v>
      </c>
      <c r="B305" s="27" t="s">
        <v>176</v>
      </c>
      <c r="C305" s="28">
        <v>0.5</v>
      </c>
      <c r="D305">
        <f t="shared" si="5"/>
        <v>999999999</v>
      </c>
      <c r="E305">
        <v>46</v>
      </c>
      <c r="F305" s="26" t="s">
        <v>577</v>
      </c>
    </row>
    <row r="306" spans="1:6" x14ac:dyDescent="0.3">
      <c r="A306" s="27" t="s">
        <v>35</v>
      </c>
      <c r="B306" s="27" t="s">
        <v>180</v>
      </c>
      <c r="C306" s="28">
        <v>0.5</v>
      </c>
      <c r="D306">
        <f t="shared" si="5"/>
        <v>999999999</v>
      </c>
      <c r="E306">
        <v>46</v>
      </c>
      <c r="F306" s="26" t="s">
        <v>577</v>
      </c>
    </row>
    <row r="307" spans="1:6" x14ac:dyDescent="0.3">
      <c r="A307" s="27" t="s">
        <v>35</v>
      </c>
      <c r="B307" s="27" t="s">
        <v>177</v>
      </c>
      <c r="C307" s="28">
        <v>4.2</v>
      </c>
      <c r="D307">
        <f t="shared" si="5"/>
        <v>999999999</v>
      </c>
      <c r="E307">
        <v>46</v>
      </c>
      <c r="F307" s="26" t="s">
        <v>577</v>
      </c>
    </row>
    <row r="308" spans="1:6" x14ac:dyDescent="0.3">
      <c r="A308" s="27" t="s">
        <v>35</v>
      </c>
      <c r="B308" s="27" t="s">
        <v>177</v>
      </c>
      <c r="C308" s="28">
        <v>4.2</v>
      </c>
      <c r="D308">
        <f t="shared" si="5"/>
        <v>999999999</v>
      </c>
      <c r="E308">
        <v>46</v>
      </c>
      <c r="F308" s="26" t="s">
        <v>577</v>
      </c>
    </row>
    <row r="309" spans="1:6" x14ac:dyDescent="0.3">
      <c r="A309" s="27" t="s">
        <v>35</v>
      </c>
      <c r="B309" s="27" t="s">
        <v>178</v>
      </c>
      <c r="C309" s="28">
        <v>6.3</v>
      </c>
      <c r="D309">
        <f t="shared" si="5"/>
        <v>999999999</v>
      </c>
      <c r="E309">
        <v>46</v>
      </c>
      <c r="F309" s="26" t="s">
        <v>577</v>
      </c>
    </row>
    <row r="310" spans="1:6" x14ac:dyDescent="0.3">
      <c r="A310" s="27" t="s">
        <v>35</v>
      </c>
      <c r="B310" s="27" t="s">
        <v>178</v>
      </c>
      <c r="C310" s="28">
        <v>6.3</v>
      </c>
      <c r="D310">
        <f t="shared" si="5"/>
        <v>999999999</v>
      </c>
      <c r="E310">
        <v>46</v>
      </c>
      <c r="F310" s="26" t="s">
        <v>577</v>
      </c>
    </row>
    <row r="311" spans="1:6" x14ac:dyDescent="0.3">
      <c r="A311" s="27" t="s">
        <v>35</v>
      </c>
      <c r="B311" s="27" t="s">
        <v>178</v>
      </c>
      <c r="C311" s="28">
        <v>6.3</v>
      </c>
      <c r="D311">
        <f t="shared" si="5"/>
        <v>999999999</v>
      </c>
      <c r="E311">
        <v>46</v>
      </c>
      <c r="F311" s="26" t="s">
        <v>577</v>
      </c>
    </row>
    <row r="312" spans="1:6" x14ac:dyDescent="0.3">
      <c r="A312" s="27" t="s">
        <v>35</v>
      </c>
      <c r="B312" s="27" t="s">
        <v>179</v>
      </c>
      <c r="C312" s="28">
        <v>6.4</v>
      </c>
      <c r="D312">
        <f t="shared" si="5"/>
        <v>999999999</v>
      </c>
      <c r="E312">
        <v>46</v>
      </c>
      <c r="F312" s="26" t="s">
        <v>577</v>
      </c>
    </row>
    <row r="313" spans="1:6" x14ac:dyDescent="0.3">
      <c r="A313" s="27" t="s">
        <v>35</v>
      </c>
      <c r="B313" s="27" t="s">
        <v>179</v>
      </c>
      <c r="C313" s="28">
        <v>6.4</v>
      </c>
      <c r="D313">
        <f t="shared" si="5"/>
        <v>999999999</v>
      </c>
      <c r="E313">
        <v>46</v>
      </c>
      <c r="F313" s="26" t="s">
        <v>577</v>
      </c>
    </row>
    <row r="314" spans="1:6" x14ac:dyDescent="0.3">
      <c r="A314" s="11" t="s">
        <v>738</v>
      </c>
      <c r="B314" s="38" t="s">
        <v>478</v>
      </c>
      <c r="C314" s="10">
        <v>5.0999999999999996</v>
      </c>
      <c r="D314">
        <f t="shared" si="5"/>
        <v>999999999</v>
      </c>
      <c r="E314">
        <v>47</v>
      </c>
      <c r="F314" s="29" t="s">
        <v>577</v>
      </c>
    </row>
    <row r="315" spans="1:6" x14ac:dyDescent="0.3">
      <c r="A315" s="11" t="s">
        <v>738</v>
      </c>
      <c r="B315" s="38" t="s">
        <v>479</v>
      </c>
      <c r="C315" s="10">
        <v>3.5</v>
      </c>
      <c r="D315">
        <f t="shared" si="5"/>
        <v>999999999</v>
      </c>
      <c r="E315">
        <v>47</v>
      </c>
      <c r="F315" s="29" t="s">
        <v>577</v>
      </c>
    </row>
    <row r="316" spans="1:6" x14ac:dyDescent="0.3">
      <c r="A316" s="11" t="s">
        <v>738</v>
      </c>
      <c r="B316" s="38" t="s">
        <v>480</v>
      </c>
      <c r="C316" s="10">
        <v>2.8</v>
      </c>
      <c r="D316">
        <f t="shared" si="5"/>
        <v>999999999</v>
      </c>
      <c r="E316">
        <v>47</v>
      </c>
      <c r="F316" s="29" t="s">
        <v>577</v>
      </c>
    </row>
    <row r="317" spans="1:6" x14ac:dyDescent="0.3">
      <c r="A317" s="11" t="s">
        <v>738</v>
      </c>
      <c r="B317" s="38" t="s">
        <v>481</v>
      </c>
      <c r="C317" s="10">
        <v>1</v>
      </c>
      <c r="D317">
        <f t="shared" si="5"/>
        <v>999999999</v>
      </c>
      <c r="E317">
        <v>47</v>
      </c>
      <c r="F317" s="29" t="s">
        <v>577</v>
      </c>
    </row>
    <row r="318" spans="1:6" x14ac:dyDescent="0.3">
      <c r="A318" s="11" t="s">
        <v>738</v>
      </c>
      <c r="B318" s="38" t="s">
        <v>482</v>
      </c>
      <c r="C318" s="31">
        <v>5.4</v>
      </c>
      <c r="D318">
        <f t="shared" si="5"/>
        <v>999999999</v>
      </c>
      <c r="E318">
        <v>47</v>
      </c>
      <c r="F318" s="29" t="s">
        <v>577</v>
      </c>
    </row>
    <row r="319" spans="1:6" x14ac:dyDescent="0.3">
      <c r="A319" s="30" t="s">
        <v>585</v>
      </c>
      <c r="B319" s="38" t="s">
        <v>589</v>
      </c>
      <c r="C319" s="31">
        <v>1</v>
      </c>
      <c r="D319">
        <f t="shared" si="5"/>
        <v>999999999</v>
      </c>
      <c r="E319">
        <v>48</v>
      </c>
      <c r="F319" s="29" t="s">
        <v>577</v>
      </c>
    </row>
    <row r="320" spans="1:6" x14ac:dyDescent="0.3">
      <c r="A320" s="30" t="s">
        <v>585</v>
      </c>
      <c r="B320" s="38" t="s">
        <v>593</v>
      </c>
      <c r="C320" s="31">
        <v>1</v>
      </c>
      <c r="D320">
        <f t="shared" si="5"/>
        <v>999999999</v>
      </c>
      <c r="E320">
        <v>48</v>
      </c>
      <c r="F320" s="29" t="s">
        <v>577</v>
      </c>
    </row>
    <row r="321" spans="1:6" x14ac:dyDescent="0.3">
      <c r="A321" s="30" t="s">
        <v>585</v>
      </c>
      <c r="B321" s="38" t="s">
        <v>592</v>
      </c>
      <c r="C321" s="31">
        <v>2.8</v>
      </c>
      <c r="D321">
        <f t="shared" si="5"/>
        <v>999999999</v>
      </c>
      <c r="E321">
        <v>48</v>
      </c>
      <c r="F321" s="29" t="s">
        <v>577</v>
      </c>
    </row>
    <row r="322" spans="1:6" x14ac:dyDescent="0.3">
      <c r="A322" s="30" t="s">
        <v>585</v>
      </c>
      <c r="B322" s="38" t="s">
        <v>588</v>
      </c>
      <c r="C322" s="31">
        <v>3.1</v>
      </c>
      <c r="D322">
        <f t="shared" si="5"/>
        <v>999999999</v>
      </c>
      <c r="E322">
        <v>48</v>
      </c>
      <c r="F322" s="29" t="s">
        <v>577</v>
      </c>
    </row>
    <row r="323" spans="1:6" x14ac:dyDescent="0.3">
      <c r="A323" s="30" t="s">
        <v>585</v>
      </c>
      <c r="B323" s="38" t="s">
        <v>591</v>
      </c>
      <c r="C323" s="31">
        <v>3.5</v>
      </c>
      <c r="D323">
        <f t="shared" si="5"/>
        <v>999999999</v>
      </c>
      <c r="E323">
        <v>48</v>
      </c>
      <c r="F323" s="29" t="s">
        <v>577</v>
      </c>
    </row>
    <row r="324" spans="1:6" x14ac:dyDescent="0.3">
      <c r="A324" s="30" t="s">
        <v>585</v>
      </c>
      <c r="B324" s="38" t="s">
        <v>586</v>
      </c>
      <c r="C324" s="31">
        <v>5.0999999999999996</v>
      </c>
      <c r="D324">
        <f t="shared" si="5"/>
        <v>999999999</v>
      </c>
      <c r="E324">
        <v>48</v>
      </c>
      <c r="F324" s="29" t="s">
        <v>577</v>
      </c>
    </row>
    <row r="325" spans="1:6" x14ac:dyDescent="0.3">
      <c r="A325" s="30" t="s">
        <v>585</v>
      </c>
      <c r="B325" s="38" t="s">
        <v>590</v>
      </c>
      <c r="C325" s="31">
        <v>5.0999999999999996</v>
      </c>
      <c r="D325">
        <f t="shared" si="5"/>
        <v>999999999</v>
      </c>
      <c r="E325">
        <v>48</v>
      </c>
      <c r="F325" s="29" t="s">
        <v>577</v>
      </c>
    </row>
    <row r="326" spans="1:6" x14ac:dyDescent="0.3">
      <c r="A326" s="30" t="s">
        <v>585</v>
      </c>
      <c r="B326" s="38" t="s">
        <v>587</v>
      </c>
      <c r="C326" s="31">
        <v>7.1</v>
      </c>
      <c r="D326">
        <f t="shared" si="5"/>
        <v>999999999</v>
      </c>
      <c r="E326">
        <v>48</v>
      </c>
      <c r="F326" s="29" t="s">
        <v>577</v>
      </c>
    </row>
    <row r="327" spans="1:6" x14ac:dyDescent="0.3">
      <c r="A327" s="27" t="s">
        <v>37</v>
      </c>
      <c r="B327" s="27" t="s">
        <v>181</v>
      </c>
      <c r="C327" s="28">
        <v>0.5</v>
      </c>
      <c r="D327">
        <f t="shared" si="5"/>
        <v>1000000</v>
      </c>
      <c r="E327">
        <v>49</v>
      </c>
      <c r="F327" s="26"/>
    </row>
    <row r="328" spans="1:6" x14ac:dyDescent="0.3">
      <c r="A328" s="27" t="s">
        <v>37</v>
      </c>
      <c r="B328" s="27" t="s">
        <v>185</v>
      </c>
      <c r="C328" s="28">
        <v>0.5</v>
      </c>
      <c r="D328">
        <f t="shared" si="5"/>
        <v>1000000</v>
      </c>
      <c r="E328">
        <v>49</v>
      </c>
      <c r="F328" s="26"/>
    </row>
    <row r="329" spans="1:6" x14ac:dyDescent="0.3">
      <c r="A329" s="27" t="s">
        <v>37</v>
      </c>
      <c r="B329" s="27" t="s">
        <v>181</v>
      </c>
      <c r="C329" s="28">
        <v>0.5</v>
      </c>
      <c r="D329">
        <f t="shared" ref="D329:D392" si="6">IF(F329="Sabit",999999999,1000000)</f>
        <v>1000000</v>
      </c>
      <c r="E329">
        <v>49</v>
      </c>
      <c r="F329" s="26"/>
    </row>
    <row r="330" spans="1:6" x14ac:dyDescent="0.3">
      <c r="A330" s="27" t="s">
        <v>37</v>
      </c>
      <c r="B330" s="27" t="s">
        <v>185</v>
      </c>
      <c r="C330" s="28">
        <v>0.5</v>
      </c>
      <c r="D330">
        <f t="shared" si="6"/>
        <v>1000000</v>
      </c>
      <c r="E330">
        <v>49</v>
      </c>
      <c r="F330" s="26"/>
    </row>
    <row r="331" spans="1:6" x14ac:dyDescent="0.3">
      <c r="A331" s="27" t="s">
        <v>37</v>
      </c>
      <c r="B331" s="27" t="s">
        <v>182</v>
      </c>
      <c r="C331" s="28">
        <v>2.8</v>
      </c>
      <c r="D331">
        <f t="shared" si="6"/>
        <v>1000000</v>
      </c>
      <c r="E331">
        <v>49</v>
      </c>
      <c r="F331" s="26"/>
    </row>
    <row r="332" spans="1:6" x14ac:dyDescent="0.3">
      <c r="A332" s="27" t="s">
        <v>37</v>
      </c>
      <c r="B332" s="27" t="s">
        <v>182</v>
      </c>
      <c r="C332" s="28">
        <v>2.8</v>
      </c>
      <c r="D332">
        <f t="shared" si="6"/>
        <v>1000000</v>
      </c>
      <c r="E332">
        <v>49</v>
      </c>
      <c r="F332" s="26"/>
    </row>
    <row r="333" spans="1:6" x14ac:dyDescent="0.3">
      <c r="A333" s="27" t="s">
        <v>37</v>
      </c>
      <c r="B333" s="27" t="s">
        <v>186</v>
      </c>
      <c r="C333" s="28">
        <v>2.8</v>
      </c>
      <c r="D333">
        <f t="shared" si="6"/>
        <v>1000000</v>
      </c>
      <c r="E333">
        <v>49</v>
      </c>
      <c r="F333" s="26"/>
    </row>
    <row r="334" spans="1:6" x14ac:dyDescent="0.3">
      <c r="A334" s="27" t="s">
        <v>37</v>
      </c>
      <c r="B334" s="27" t="s">
        <v>184</v>
      </c>
      <c r="C334" s="28">
        <v>3.8</v>
      </c>
      <c r="D334">
        <f t="shared" si="6"/>
        <v>1000000</v>
      </c>
      <c r="E334">
        <v>49</v>
      </c>
      <c r="F334" s="26"/>
    </row>
    <row r="335" spans="1:6" x14ac:dyDescent="0.3">
      <c r="A335" s="27" t="s">
        <v>37</v>
      </c>
      <c r="B335" s="27" t="s">
        <v>184</v>
      </c>
      <c r="C335" s="28">
        <v>3.8</v>
      </c>
      <c r="D335">
        <f t="shared" si="6"/>
        <v>1000000</v>
      </c>
      <c r="E335">
        <v>49</v>
      </c>
      <c r="F335" s="26"/>
    </row>
    <row r="336" spans="1:6" x14ac:dyDescent="0.3">
      <c r="A336" s="27" t="s">
        <v>37</v>
      </c>
      <c r="B336" s="27" t="s">
        <v>183</v>
      </c>
      <c r="C336" s="28">
        <v>5.5</v>
      </c>
      <c r="D336">
        <f t="shared" si="6"/>
        <v>1000000</v>
      </c>
      <c r="E336">
        <v>49</v>
      </c>
      <c r="F336" s="26"/>
    </row>
    <row r="337" spans="1:6" x14ac:dyDescent="0.3">
      <c r="A337" s="27" t="s">
        <v>37</v>
      </c>
      <c r="B337" s="27" t="s">
        <v>183</v>
      </c>
      <c r="C337" s="28">
        <v>5.5</v>
      </c>
      <c r="D337">
        <f t="shared" si="6"/>
        <v>1000000</v>
      </c>
      <c r="E337">
        <v>49</v>
      </c>
      <c r="F337" s="26"/>
    </row>
    <row r="338" spans="1:6" x14ac:dyDescent="0.3">
      <c r="A338" s="27" t="s">
        <v>58</v>
      </c>
      <c r="B338" s="27" t="s">
        <v>189</v>
      </c>
      <c r="C338" s="28">
        <v>0.5</v>
      </c>
      <c r="D338">
        <f t="shared" si="6"/>
        <v>999999999</v>
      </c>
      <c r="E338">
        <v>50</v>
      </c>
      <c r="F338" s="26" t="s">
        <v>577</v>
      </c>
    </row>
    <row r="339" spans="1:6" x14ac:dyDescent="0.3">
      <c r="A339" s="27" t="s">
        <v>58</v>
      </c>
      <c r="B339" s="27" t="s">
        <v>189</v>
      </c>
      <c r="C339" s="28">
        <v>0.5</v>
      </c>
      <c r="D339">
        <f t="shared" si="6"/>
        <v>999999999</v>
      </c>
      <c r="E339">
        <v>50</v>
      </c>
      <c r="F339" s="26" t="s">
        <v>577</v>
      </c>
    </row>
    <row r="340" spans="1:6" x14ac:dyDescent="0.3">
      <c r="A340" s="27" t="s">
        <v>58</v>
      </c>
      <c r="B340" s="27" t="s">
        <v>189</v>
      </c>
      <c r="C340" s="28">
        <v>0.5</v>
      </c>
      <c r="D340">
        <f t="shared" si="6"/>
        <v>999999999</v>
      </c>
      <c r="E340">
        <v>50</v>
      </c>
      <c r="F340" s="26" t="s">
        <v>577</v>
      </c>
    </row>
    <row r="341" spans="1:6" x14ac:dyDescent="0.3">
      <c r="A341" s="27" t="s">
        <v>58</v>
      </c>
      <c r="B341" s="27" t="s">
        <v>189</v>
      </c>
      <c r="C341" s="28">
        <v>0.5</v>
      </c>
      <c r="D341">
        <f t="shared" si="6"/>
        <v>999999999</v>
      </c>
      <c r="E341">
        <v>50</v>
      </c>
      <c r="F341" s="26" t="s">
        <v>577</v>
      </c>
    </row>
    <row r="342" spans="1:6" x14ac:dyDescent="0.3">
      <c r="A342" s="27" t="s">
        <v>58</v>
      </c>
      <c r="B342" s="27" t="s">
        <v>188</v>
      </c>
      <c r="C342" s="28">
        <v>2.6</v>
      </c>
      <c r="D342">
        <f t="shared" si="6"/>
        <v>999999999</v>
      </c>
      <c r="E342">
        <v>50</v>
      </c>
      <c r="F342" s="26" t="s">
        <v>577</v>
      </c>
    </row>
    <row r="343" spans="1:6" x14ac:dyDescent="0.3">
      <c r="A343" s="27" t="s">
        <v>58</v>
      </c>
      <c r="B343" s="27" t="s">
        <v>188</v>
      </c>
      <c r="C343" s="28">
        <v>2.6</v>
      </c>
      <c r="D343">
        <f t="shared" si="6"/>
        <v>999999999</v>
      </c>
      <c r="E343">
        <v>50</v>
      </c>
      <c r="F343" s="26" t="s">
        <v>577</v>
      </c>
    </row>
    <row r="344" spans="1:6" x14ac:dyDescent="0.3">
      <c r="A344" s="27" t="s">
        <v>58</v>
      </c>
      <c r="B344" s="27" t="s">
        <v>188</v>
      </c>
      <c r="C344" s="28">
        <v>2.6</v>
      </c>
      <c r="D344">
        <f t="shared" si="6"/>
        <v>999999999</v>
      </c>
      <c r="E344">
        <v>50</v>
      </c>
      <c r="F344" s="26" t="s">
        <v>577</v>
      </c>
    </row>
    <row r="345" spans="1:6" x14ac:dyDescent="0.3">
      <c r="A345" s="27" t="s">
        <v>58</v>
      </c>
      <c r="B345" s="27" t="s">
        <v>188</v>
      </c>
      <c r="C345" s="28">
        <v>2.6</v>
      </c>
      <c r="D345">
        <f t="shared" si="6"/>
        <v>999999999</v>
      </c>
      <c r="E345">
        <v>50</v>
      </c>
      <c r="F345" s="26" t="s">
        <v>577</v>
      </c>
    </row>
    <row r="346" spans="1:6" x14ac:dyDescent="0.3">
      <c r="A346" s="27" t="s">
        <v>58</v>
      </c>
      <c r="B346" s="27" t="s">
        <v>188</v>
      </c>
      <c r="C346" s="28">
        <v>2.6</v>
      </c>
      <c r="D346">
        <f t="shared" si="6"/>
        <v>999999999</v>
      </c>
      <c r="E346">
        <v>50</v>
      </c>
      <c r="F346" s="26" t="s">
        <v>577</v>
      </c>
    </row>
    <row r="347" spans="1:6" x14ac:dyDescent="0.3">
      <c r="A347" s="27" t="s">
        <v>58</v>
      </c>
      <c r="B347" s="27" t="s">
        <v>188</v>
      </c>
      <c r="C347" s="28">
        <v>2.6</v>
      </c>
      <c r="D347">
        <f t="shared" si="6"/>
        <v>999999999</v>
      </c>
      <c r="E347">
        <v>50</v>
      </c>
      <c r="F347" s="26" t="s">
        <v>577</v>
      </c>
    </row>
    <row r="348" spans="1:6" x14ac:dyDescent="0.3">
      <c r="A348" s="27" t="s">
        <v>58</v>
      </c>
      <c r="B348" s="27" t="s">
        <v>188</v>
      </c>
      <c r="C348" s="28">
        <v>2.6</v>
      </c>
      <c r="D348">
        <f t="shared" si="6"/>
        <v>999999999</v>
      </c>
      <c r="E348">
        <v>50</v>
      </c>
      <c r="F348" s="26" t="s">
        <v>577</v>
      </c>
    </row>
    <row r="349" spans="1:6" x14ac:dyDescent="0.3">
      <c r="A349" s="27" t="s">
        <v>58</v>
      </c>
      <c r="B349" s="27" t="s">
        <v>188</v>
      </c>
      <c r="C349" s="28">
        <v>2.6</v>
      </c>
      <c r="D349">
        <f t="shared" si="6"/>
        <v>999999999</v>
      </c>
      <c r="E349">
        <v>50</v>
      </c>
      <c r="F349" s="26" t="s">
        <v>577</v>
      </c>
    </row>
    <row r="350" spans="1:6" x14ac:dyDescent="0.3">
      <c r="A350" s="27" t="s">
        <v>58</v>
      </c>
      <c r="B350" s="27" t="s">
        <v>188</v>
      </c>
      <c r="C350" s="28">
        <v>2.6</v>
      </c>
      <c r="D350">
        <f t="shared" si="6"/>
        <v>999999999</v>
      </c>
      <c r="E350">
        <v>50</v>
      </c>
      <c r="F350" s="26" t="s">
        <v>577</v>
      </c>
    </row>
    <row r="351" spans="1:6" x14ac:dyDescent="0.3">
      <c r="A351" s="27" t="s">
        <v>58</v>
      </c>
      <c r="B351" s="27" t="s">
        <v>188</v>
      </c>
      <c r="C351" s="28">
        <v>2.6</v>
      </c>
      <c r="D351">
        <f t="shared" si="6"/>
        <v>999999999</v>
      </c>
      <c r="E351">
        <v>50</v>
      </c>
      <c r="F351" s="26" t="s">
        <v>577</v>
      </c>
    </row>
    <row r="352" spans="1:6" x14ac:dyDescent="0.3">
      <c r="A352" s="27" t="s">
        <v>58</v>
      </c>
      <c r="B352" s="27" t="s">
        <v>188</v>
      </c>
      <c r="C352" s="28">
        <v>2.6</v>
      </c>
      <c r="D352">
        <f t="shared" si="6"/>
        <v>999999999</v>
      </c>
      <c r="E352">
        <v>50</v>
      </c>
      <c r="F352" s="26" t="s">
        <v>577</v>
      </c>
    </row>
    <row r="353" spans="1:6" x14ac:dyDescent="0.3">
      <c r="A353" s="27" t="s">
        <v>58</v>
      </c>
      <c r="B353" s="27" t="s">
        <v>188</v>
      </c>
      <c r="C353" s="28">
        <v>2.6</v>
      </c>
      <c r="D353">
        <f t="shared" si="6"/>
        <v>999999999</v>
      </c>
      <c r="E353">
        <v>50</v>
      </c>
      <c r="F353" s="26" t="s">
        <v>577</v>
      </c>
    </row>
    <row r="354" spans="1:6" x14ac:dyDescent="0.3">
      <c r="A354" s="27" t="s">
        <v>58</v>
      </c>
      <c r="B354" s="27" t="s">
        <v>188</v>
      </c>
      <c r="C354" s="28">
        <v>2.6</v>
      </c>
      <c r="D354">
        <f t="shared" si="6"/>
        <v>999999999</v>
      </c>
      <c r="E354">
        <v>50</v>
      </c>
      <c r="F354" s="26" t="s">
        <v>577</v>
      </c>
    </row>
    <row r="355" spans="1:6" x14ac:dyDescent="0.3">
      <c r="A355" s="27" t="s">
        <v>58</v>
      </c>
      <c r="B355" s="27" t="s">
        <v>385</v>
      </c>
      <c r="C355" s="28">
        <v>4.0999999999999996</v>
      </c>
      <c r="D355">
        <f t="shared" si="6"/>
        <v>999999999</v>
      </c>
      <c r="E355">
        <v>50</v>
      </c>
      <c r="F355" s="26" t="s">
        <v>577</v>
      </c>
    </row>
    <row r="356" spans="1:6" x14ac:dyDescent="0.3">
      <c r="A356" s="27" t="s">
        <v>58</v>
      </c>
      <c r="B356" s="27" t="s">
        <v>386</v>
      </c>
      <c r="C356" s="28">
        <v>4.0999999999999996</v>
      </c>
      <c r="D356">
        <f t="shared" si="6"/>
        <v>999999999</v>
      </c>
      <c r="E356">
        <v>50</v>
      </c>
      <c r="F356" s="26" t="s">
        <v>577</v>
      </c>
    </row>
    <row r="357" spans="1:6" x14ac:dyDescent="0.3">
      <c r="A357" s="27" t="s">
        <v>58</v>
      </c>
      <c r="B357" s="27" t="s">
        <v>384</v>
      </c>
      <c r="C357" s="28">
        <v>4.5</v>
      </c>
      <c r="D357">
        <f t="shared" si="6"/>
        <v>999999999</v>
      </c>
      <c r="E357">
        <v>50</v>
      </c>
      <c r="F357" s="26" t="s">
        <v>577</v>
      </c>
    </row>
    <row r="358" spans="1:6" x14ac:dyDescent="0.3">
      <c r="A358" s="27" t="s">
        <v>58</v>
      </c>
      <c r="B358" s="27" t="s">
        <v>187</v>
      </c>
      <c r="C358" s="28">
        <v>5.3</v>
      </c>
      <c r="D358">
        <f t="shared" si="6"/>
        <v>999999999</v>
      </c>
      <c r="E358">
        <v>50</v>
      </c>
      <c r="F358" s="26" t="s">
        <v>577</v>
      </c>
    </row>
    <row r="359" spans="1:6" x14ac:dyDescent="0.3">
      <c r="A359" s="27" t="s">
        <v>58</v>
      </c>
      <c r="B359" s="27" t="s">
        <v>187</v>
      </c>
      <c r="C359" s="28">
        <v>5.3</v>
      </c>
      <c r="D359">
        <f t="shared" si="6"/>
        <v>999999999</v>
      </c>
      <c r="E359">
        <v>50</v>
      </c>
      <c r="F359" s="26" t="s">
        <v>577</v>
      </c>
    </row>
    <row r="360" spans="1:6" x14ac:dyDescent="0.3">
      <c r="A360" s="27" t="s">
        <v>58</v>
      </c>
      <c r="B360" s="27" t="s">
        <v>187</v>
      </c>
      <c r="C360" s="28">
        <v>5.3</v>
      </c>
      <c r="D360">
        <f t="shared" si="6"/>
        <v>999999999</v>
      </c>
      <c r="E360">
        <v>50</v>
      </c>
      <c r="F360" s="26" t="s">
        <v>577</v>
      </c>
    </row>
    <row r="361" spans="1:6" x14ac:dyDescent="0.3">
      <c r="A361" s="27" t="s">
        <v>58</v>
      </c>
      <c r="B361" s="27" t="s">
        <v>187</v>
      </c>
      <c r="C361" s="28">
        <v>5.3</v>
      </c>
      <c r="D361">
        <f t="shared" si="6"/>
        <v>999999999</v>
      </c>
      <c r="E361">
        <v>50</v>
      </c>
      <c r="F361" s="26" t="s">
        <v>577</v>
      </c>
    </row>
    <row r="362" spans="1:6" x14ac:dyDescent="0.3">
      <c r="A362" s="27" t="s">
        <v>36</v>
      </c>
      <c r="B362" s="27" t="s">
        <v>387</v>
      </c>
      <c r="C362" s="28">
        <v>3.1</v>
      </c>
      <c r="D362">
        <f t="shared" si="6"/>
        <v>1000000</v>
      </c>
      <c r="E362">
        <v>51</v>
      </c>
      <c r="F362" s="26"/>
    </row>
    <row r="363" spans="1:6" x14ac:dyDescent="0.3">
      <c r="A363" s="27" t="s">
        <v>36</v>
      </c>
      <c r="B363" s="27" t="s">
        <v>387</v>
      </c>
      <c r="C363" s="28">
        <v>3.1</v>
      </c>
      <c r="D363">
        <f t="shared" si="6"/>
        <v>1000000</v>
      </c>
      <c r="E363">
        <v>51</v>
      </c>
      <c r="F363" s="26"/>
    </row>
    <row r="364" spans="1:6" x14ac:dyDescent="0.3">
      <c r="A364" s="27" t="s">
        <v>36</v>
      </c>
      <c r="B364" s="27" t="s">
        <v>190</v>
      </c>
      <c r="C364" s="28">
        <v>4.0999999999999996</v>
      </c>
      <c r="D364">
        <f t="shared" si="6"/>
        <v>1000000</v>
      </c>
      <c r="E364">
        <v>51</v>
      </c>
      <c r="F364" s="26"/>
    </row>
    <row r="365" spans="1:6" x14ac:dyDescent="0.3">
      <c r="A365" s="27" t="s">
        <v>36</v>
      </c>
      <c r="B365" s="27" t="s">
        <v>191</v>
      </c>
      <c r="C365" s="28">
        <v>4.0999999999999996</v>
      </c>
      <c r="D365">
        <f t="shared" si="6"/>
        <v>1000000</v>
      </c>
      <c r="E365">
        <v>51</v>
      </c>
      <c r="F365" s="26"/>
    </row>
    <row r="366" spans="1:6" x14ac:dyDescent="0.3">
      <c r="A366" s="27" t="s">
        <v>36</v>
      </c>
      <c r="B366" s="27" t="s">
        <v>190</v>
      </c>
      <c r="C366" s="28">
        <v>4.0999999999999996</v>
      </c>
      <c r="D366">
        <f t="shared" si="6"/>
        <v>1000000</v>
      </c>
      <c r="E366">
        <v>51</v>
      </c>
      <c r="F366" s="26"/>
    </row>
    <row r="367" spans="1:6" x14ac:dyDescent="0.3">
      <c r="A367" s="27" t="s">
        <v>36</v>
      </c>
      <c r="B367" s="27" t="s">
        <v>191</v>
      </c>
      <c r="C367" s="28">
        <v>4.0999999999999996</v>
      </c>
      <c r="D367">
        <f t="shared" si="6"/>
        <v>1000000</v>
      </c>
      <c r="E367">
        <v>51</v>
      </c>
      <c r="F367" s="26"/>
    </row>
    <row r="368" spans="1:6" x14ac:dyDescent="0.3">
      <c r="A368" s="27" t="s">
        <v>36</v>
      </c>
      <c r="B368" s="27" t="s">
        <v>190</v>
      </c>
      <c r="C368" s="28">
        <v>4.0999999999999996</v>
      </c>
      <c r="D368">
        <f t="shared" si="6"/>
        <v>1000000</v>
      </c>
      <c r="E368">
        <v>51</v>
      </c>
      <c r="F368" s="26"/>
    </row>
    <row r="369" spans="1:6" x14ac:dyDescent="0.3">
      <c r="A369" s="27" t="s">
        <v>36</v>
      </c>
      <c r="B369" s="27" t="s">
        <v>191</v>
      </c>
      <c r="C369" s="28">
        <v>4.0999999999999996</v>
      </c>
      <c r="D369">
        <f t="shared" si="6"/>
        <v>1000000</v>
      </c>
      <c r="E369">
        <v>51</v>
      </c>
      <c r="F369" s="26"/>
    </row>
    <row r="370" spans="1:6" x14ac:dyDescent="0.3">
      <c r="A370" s="27" t="s">
        <v>36</v>
      </c>
      <c r="B370" s="27" t="s">
        <v>190</v>
      </c>
      <c r="C370" s="28">
        <v>4.0999999999999996</v>
      </c>
      <c r="D370">
        <f t="shared" si="6"/>
        <v>1000000</v>
      </c>
      <c r="E370">
        <v>51</v>
      </c>
      <c r="F370" s="26"/>
    </row>
    <row r="371" spans="1:6" x14ac:dyDescent="0.3">
      <c r="A371" s="27" t="s">
        <v>36</v>
      </c>
      <c r="B371" s="27" t="s">
        <v>191</v>
      </c>
      <c r="C371" s="28">
        <v>4.0999999999999996</v>
      </c>
      <c r="D371">
        <f t="shared" si="6"/>
        <v>1000000</v>
      </c>
      <c r="E371">
        <v>51</v>
      </c>
      <c r="F371" s="26"/>
    </row>
    <row r="372" spans="1:6" x14ac:dyDescent="0.3">
      <c r="A372" s="27" t="s">
        <v>36</v>
      </c>
      <c r="B372" s="27" t="s">
        <v>190</v>
      </c>
      <c r="C372" s="28">
        <v>4.0999999999999996</v>
      </c>
      <c r="D372">
        <f t="shared" si="6"/>
        <v>1000000</v>
      </c>
      <c r="E372">
        <v>51</v>
      </c>
      <c r="F372" s="26"/>
    </row>
    <row r="373" spans="1:6" x14ac:dyDescent="0.3">
      <c r="A373" s="27" t="s">
        <v>36</v>
      </c>
      <c r="B373" s="27" t="s">
        <v>191</v>
      </c>
      <c r="C373" s="28">
        <v>4.0999999999999996</v>
      </c>
      <c r="D373">
        <f t="shared" si="6"/>
        <v>1000000</v>
      </c>
      <c r="E373">
        <v>51</v>
      </c>
      <c r="F373" s="26"/>
    </row>
    <row r="374" spans="1:6" x14ac:dyDescent="0.3">
      <c r="A374" s="27" t="s">
        <v>36</v>
      </c>
      <c r="B374" s="27" t="s">
        <v>388</v>
      </c>
      <c r="C374" s="28">
        <v>4.5</v>
      </c>
      <c r="D374">
        <f t="shared" si="6"/>
        <v>1000000</v>
      </c>
      <c r="E374">
        <v>51</v>
      </c>
      <c r="F374" s="26"/>
    </row>
    <row r="375" spans="1:6" x14ac:dyDescent="0.3">
      <c r="A375" s="27" t="s">
        <v>36</v>
      </c>
      <c r="B375" s="27" t="s">
        <v>388</v>
      </c>
      <c r="C375" s="28">
        <v>4.5</v>
      </c>
      <c r="D375">
        <f t="shared" si="6"/>
        <v>1000000</v>
      </c>
      <c r="E375">
        <v>51</v>
      </c>
      <c r="F375" s="26"/>
    </row>
    <row r="376" spans="1:6" x14ac:dyDescent="0.3">
      <c r="A376" s="27" t="s">
        <v>36</v>
      </c>
      <c r="B376" s="27" t="s">
        <v>193</v>
      </c>
      <c r="C376" s="28">
        <v>5.6</v>
      </c>
      <c r="D376">
        <f t="shared" si="6"/>
        <v>1000000</v>
      </c>
      <c r="E376">
        <v>51</v>
      </c>
      <c r="F376" s="26"/>
    </row>
    <row r="377" spans="1:6" x14ac:dyDescent="0.3">
      <c r="A377" s="27" t="s">
        <v>36</v>
      </c>
      <c r="B377" s="27" t="s">
        <v>192</v>
      </c>
      <c r="C377" s="28">
        <v>5.8</v>
      </c>
      <c r="D377">
        <f t="shared" si="6"/>
        <v>1000000</v>
      </c>
      <c r="E377">
        <v>51</v>
      </c>
      <c r="F377" s="26"/>
    </row>
    <row r="378" spans="1:6" x14ac:dyDescent="0.3">
      <c r="A378" s="27" t="s">
        <v>36</v>
      </c>
      <c r="B378" s="27" t="s">
        <v>192</v>
      </c>
      <c r="C378" s="28">
        <v>5.8</v>
      </c>
      <c r="D378">
        <f t="shared" si="6"/>
        <v>1000000</v>
      </c>
      <c r="E378">
        <v>51</v>
      </c>
      <c r="F378" s="26"/>
    </row>
    <row r="379" spans="1:6" x14ac:dyDescent="0.3">
      <c r="A379" s="27" t="s">
        <v>30</v>
      </c>
      <c r="B379" s="27" t="s">
        <v>195</v>
      </c>
      <c r="C379" s="28">
        <v>2.6</v>
      </c>
      <c r="D379">
        <f t="shared" si="6"/>
        <v>1000000</v>
      </c>
      <c r="E379">
        <v>52</v>
      </c>
      <c r="F379" s="26"/>
    </row>
    <row r="380" spans="1:6" x14ac:dyDescent="0.3">
      <c r="A380" s="27" t="s">
        <v>30</v>
      </c>
      <c r="B380" s="27" t="s">
        <v>196</v>
      </c>
      <c r="C380" s="28">
        <v>2.6</v>
      </c>
      <c r="D380">
        <f t="shared" si="6"/>
        <v>1000000</v>
      </c>
      <c r="E380">
        <v>52</v>
      </c>
      <c r="F380" s="26"/>
    </row>
    <row r="381" spans="1:6" x14ac:dyDescent="0.3">
      <c r="A381" s="27" t="s">
        <v>30</v>
      </c>
      <c r="B381" s="27" t="s">
        <v>195</v>
      </c>
      <c r="C381" s="28">
        <v>2.6</v>
      </c>
      <c r="D381">
        <f t="shared" si="6"/>
        <v>1000000</v>
      </c>
      <c r="E381">
        <v>52</v>
      </c>
      <c r="F381" s="26"/>
    </row>
    <row r="382" spans="1:6" x14ac:dyDescent="0.3">
      <c r="A382" s="27" t="s">
        <v>30</v>
      </c>
      <c r="B382" s="27" t="s">
        <v>196</v>
      </c>
      <c r="C382" s="28">
        <v>2.6</v>
      </c>
      <c r="D382">
        <f t="shared" si="6"/>
        <v>1000000</v>
      </c>
      <c r="E382">
        <v>52</v>
      </c>
      <c r="F382" s="26"/>
    </row>
    <row r="383" spans="1:6" x14ac:dyDescent="0.3">
      <c r="A383" s="27" t="s">
        <v>30</v>
      </c>
      <c r="B383" s="27" t="s">
        <v>195</v>
      </c>
      <c r="C383" s="28">
        <v>2.6</v>
      </c>
      <c r="D383">
        <f t="shared" si="6"/>
        <v>1000000</v>
      </c>
      <c r="E383">
        <v>52</v>
      </c>
      <c r="F383" s="26"/>
    </row>
    <row r="384" spans="1:6" x14ac:dyDescent="0.3">
      <c r="A384" s="27" t="s">
        <v>30</v>
      </c>
      <c r="B384" s="27" t="s">
        <v>196</v>
      </c>
      <c r="C384" s="28">
        <v>2.6</v>
      </c>
      <c r="D384">
        <f t="shared" si="6"/>
        <v>1000000</v>
      </c>
      <c r="E384">
        <v>52</v>
      </c>
      <c r="F384" s="26"/>
    </row>
    <row r="385" spans="1:6" x14ac:dyDescent="0.3">
      <c r="A385" s="27" t="s">
        <v>30</v>
      </c>
      <c r="B385" s="27" t="s">
        <v>197</v>
      </c>
      <c r="C385" s="28">
        <v>2.8</v>
      </c>
      <c r="D385">
        <f t="shared" si="6"/>
        <v>1000000</v>
      </c>
      <c r="E385">
        <v>52</v>
      </c>
      <c r="F385" s="26"/>
    </row>
    <row r="386" spans="1:6" x14ac:dyDescent="0.3">
      <c r="A386" s="27" t="s">
        <v>30</v>
      </c>
      <c r="B386" s="27" t="s">
        <v>194</v>
      </c>
      <c r="C386" s="28">
        <v>4.2</v>
      </c>
      <c r="D386">
        <f t="shared" si="6"/>
        <v>1000000</v>
      </c>
      <c r="E386">
        <v>52</v>
      </c>
      <c r="F386" s="26"/>
    </row>
    <row r="387" spans="1:6" x14ac:dyDescent="0.3">
      <c r="A387" s="27" t="s">
        <v>30</v>
      </c>
      <c r="B387" s="27" t="s">
        <v>194</v>
      </c>
      <c r="C387" s="28">
        <v>4.2</v>
      </c>
      <c r="D387">
        <f t="shared" si="6"/>
        <v>1000000</v>
      </c>
      <c r="E387">
        <v>52</v>
      </c>
      <c r="F387" s="26"/>
    </row>
    <row r="388" spans="1:6" x14ac:dyDescent="0.3">
      <c r="A388" s="27" t="s">
        <v>30</v>
      </c>
      <c r="B388" s="27" t="s">
        <v>194</v>
      </c>
      <c r="C388" s="28">
        <v>4.2</v>
      </c>
      <c r="D388">
        <f t="shared" si="6"/>
        <v>1000000</v>
      </c>
      <c r="E388">
        <v>52</v>
      </c>
      <c r="F388" s="26"/>
    </row>
    <row r="389" spans="1:6" x14ac:dyDescent="0.3">
      <c r="A389" s="27" t="s">
        <v>30</v>
      </c>
      <c r="B389" s="27" t="s">
        <v>389</v>
      </c>
      <c r="C389" s="28">
        <v>6.4</v>
      </c>
      <c r="D389">
        <f t="shared" si="6"/>
        <v>1000000</v>
      </c>
      <c r="E389">
        <v>52</v>
      </c>
      <c r="F389" s="26"/>
    </row>
    <row r="390" spans="1:6" x14ac:dyDescent="0.3">
      <c r="A390" s="27" t="s">
        <v>38</v>
      </c>
      <c r="B390" s="27" t="s">
        <v>198</v>
      </c>
      <c r="C390" s="28">
        <v>0.5</v>
      </c>
      <c r="D390">
        <f t="shared" si="6"/>
        <v>999999999</v>
      </c>
      <c r="E390">
        <v>53</v>
      </c>
      <c r="F390" s="26" t="s">
        <v>577</v>
      </c>
    </row>
    <row r="391" spans="1:6" x14ac:dyDescent="0.3">
      <c r="A391" s="27" t="s">
        <v>38</v>
      </c>
      <c r="B391" s="27" t="s">
        <v>202</v>
      </c>
      <c r="C391" s="28">
        <v>0.5</v>
      </c>
      <c r="D391">
        <f t="shared" si="6"/>
        <v>999999999</v>
      </c>
      <c r="E391">
        <v>53</v>
      </c>
      <c r="F391" s="26" t="s">
        <v>577</v>
      </c>
    </row>
    <row r="392" spans="1:6" x14ac:dyDescent="0.3">
      <c r="A392" s="27" t="s">
        <v>38</v>
      </c>
      <c r="B392" s="27" t="s">
        <v>198</v>
      </c>
      <c r="C392" s="28">
        <v>0.5</v>
      </c>
      <c r="D392">
        <f t="shared" si="6"/>
        <v>999999999</v>
      </c>
      <c r="E392">
        <v>53</v>
      </c>
      <c r="F392" s="26" t="s">
        <v>577</v>
      </c>
    </row>
    <row r="393" spans="1:6" x14ac:dyDescent="0.3">
      <c r="A393" s="27" t="s">
        <v>38</v>
      </c>
      <c r="B393" s="27" t="s">
        <v>202</v>
      </c>
      <c r="C393" s="28">
        <v>0.5</v>
      </c>
      <c r="D393">
        <f t="shared" ref="D393:D456" si="7">IF(F393="Sabit",999999999,1000000)</f>
        <v>999999999</v>
      </c>
      <c r="E393">
        <v>53</v>
      </c>
      <c r="F393" s="26" t="s">
        <v>577</v>
      </c>
    </row>
    <row r="394" spans="1:6" x14ac:dyDescent="0.3">
      <c r="A394" s="27" t="s">
        <v>38</v>
      </c>
      <c r="B394" s="27" t="s">
        <v>201</v>
      </c>
      <c r="C394" s="28">
        <v>2.6</v>
      </c>
      <c r="D394">
        <f t="shared" si="7"/>
        <v>999999999</v>
      </c>
      <c r="E394">
        <v>53</v>
      </c>
      <c r="F394" s="26" t="s">
        <v>577</v>
      </c>
    </row>
    <row r="395" spans="1:6" x14ac:dyDescent="0.3">
      <c r="A395" s="27" t="s">
        <v>38</v>
      </c>
      <c r="B395" s="27" t="s">
        <v>201</v>
      </c>
      <c r="C395" s="28">
        <v>2.6</v>
      </c>
      <c r="D395">
        <f t="shared" si="7"/>
        <v>999999999</v>
      </c>
      <c r="E395">
        <v>53</v>
      </c>
      <c r="F395" s="26" t="s">
        <v>577</v>
      </c>
    </row>
    <row r="396" spans="1:6" x14ac:dyDescent="0.3">
      <c r="A396" s="27" t="s">
        <v>38</v>
      </c>
      <c r="B396" s="27" t="s">
        <v>201</v>
      </c>
      <c r="C396" s="28">
        <v>2.6</v>
      </c>
      <c r="D396">
        <f t="shared" si="7"/>
        <v>999999999</v>
      </c>
      <c r="E396">
        <v>53</v>
      </c>
      <c r="F396" s="26" t="s">
        <v>577</v>
      </c>
    </row>
    <row r="397" spans="1:6" x14ac:dyDescent="0.3">
      <c r="A397" s="27" t="s">
        <v>38</v>
      </c>
      <c r="B397" s="27" t="s">
        <v>201</v>
      </c>
      <c r="C397" s="28">
        <v>2.6</v>
      </c>
      <c r="D397">
        <f t="shared" si="7"/>
        <v>999999999</v>
      </c>
      <c r="E397">
        <v>53</v>
      </c>
      <c r="F397" s="26" t="s">
        <v>577</v>
      </c>
    </row>
    <row r="398" spans="1:6" x14ac:dyDescent="0.3">
      <c r="A398" s="27" t="s">
        <v>38</v>
      </c>
      <c r="B398" s="27" t="s">
        <v>201</v>
      </c>
      <c r="C398" s="28">
        <v>2.6</v>
      </c>
      <c r="D398">
        <f t="shared" si="7"/>
        <v>999999999</v>
      </c>
      <c r="E398">
        <v>53</v>
      </c>
      <c r="F398" s="26" t="s">
        <v>577</v>
      </c>
    </row>
    <row r="399" spans="1:6" x14ac:dyDescent="0.3">
      <c r="A399" s="27" t="s">
        <v>38</v>
      </c>
      <c r="B399" s="27" t="s">
        <v>201</v>
      </c>
      <c r="C399" s="28">
        <v>2.6</v>
      </c>
      <c r="D399">
        <f t="shared" si="7"/>
        <v>999999999</v>
      </c>
      <c r="E399">
        <v>53</v>
      </c>
      <c r="F399" s="26" t="s">
        <v>577</v>
      </c>
    </row>
    <row r="400" spans="1:6" x14ac:dyDescent="0.3">
      <c r="A400" s="27" t="s">
        <v>38</v>
      </c>
      <c r="B400" s="27" t="s">
        <v>201</v>
      </c>
      <c r="C400" s="28">
        <v>2.6</v>
      </c>
      <c r="D400">
        <f t="shared" si="7"/>
        <v>999999999</v>
      </c>
      <c r="E400">
        <v>53</v>
      </c>
      <c r="F400" s="26" t="s">
        <v>577</v>
      </c>
    </row>
    <row r="401" spans="1:6" x14ac:dyDescent="0.3">
      <c r="A401" s="27" t="s">
        <v>38</v>
      </c>
      <c r="B401" s="27" t="s">
        <v>201</v>
      </c>
      <c r="C401" s="28">
        <v>2.6</v>
      </c>
      <c r="D401">
        <f t="shared" si="7"/>
        <v>999999999</v>
      </c>
      <c r="E401">
        <v>53</v>
      </c>
      <c r="F401" s="26" t="s">
        <v>577</v>
      </c>
    </row>
    <row r="402" spans="1:6" x14ac:dyDescent="0.3">
      <c r="A402" s="27" t="s">
        <v>38</v>
      </c>
      <c r="B402" s="27" t="s">
        <v>200</v>
      </c>
      <c r="C402" s="28">
        <v>3.1</v>
      </c>
      <c r="D402">
        <f t="shared" si="7"/>
        <v>999999999</v>
      </c>
      <c r="E402">
        <v>53</v>
      </c>
      <c r="F402" s="26" t="s">
        <v>577</v>
      </c>
    </row>
    <row r="403" spans="1:6" x14ac:dyDescent="0.3">
      <c r="A403" s="27" t="s">
        <v>38</v>
      </c>
      <c r="B403" s="27" t="s">
        <v>200</v>
      </c>
      <c r="C403" s="28">
        <v>3.1</v>
      </c>
      <c r="D403">
        <f t="shared" si="7"/>
        <v>999999999</v>
      </c>
      <c r="E403">
        <v>53</v>
      </c>
      <c r="F403" s="26" t="s">
        <v>577</v>
      </c>
    </row>
    <row r="404" spans="1:6" x14ac:dyDescent="0.3">
      <c r="A404" s="27" t="s">
        <v>38</v>
      </c>
      <c r="B404" s="27" t="s">
        <v>390</v>
      </c>
      <c r="C404" s="28">
        <v>3.1</v>
      </c>
      <c r="D404">
        <f t="shared" si="7"/>
        <v>999999999</v>
      </c>
      <c r="E404">
        <v>53</v>
      </c>
      <c r="F404" s="26" t="s">
        <v>577</v>
      </c>
    </row>
    <row r="405" spans="1:6" x14ac:dyDescent="0.3">
      <c r="A405" s="27" t="s">
        <v>38</v>
      </c>
      <c r="B405" s="27" t="s">
        <v>199</v>
      </c>
      <c r="C405" s="28">
        <v>4</v>
      </c>
      <c r="D405">
        <f t="shared" si="7"/>
        <v>999999999</v>
      </c>
      <c r="E405">
        <v>53</v>
      </c>
      <c r="F405" s="26" t="s">
        <v>577</v>
      </c>
    </row>
    <row r="406" spans="1:6" x14ac:dyDescent="0.3">
      <c r="A406" s="27" t="s">
        <v>38</v>
      </c>
      <c r="B406" s="27" t="s">
        <v>199</v>
      </c>
      <c r="C406" s="28">
        <v>4</v>
      </c>
      <c r="D406">
        <f t="shared" si="7"/>
        <v>999999999</v>
      </c>
      <c r="E406">
        <v>53</v>
      </c>
      <c r="F406" s="26" t="s">
        <v>577</v>
      </c>
    </row>
    <row r="407" spans="1:6" x14ac:dyDescent="0.3">
      <c r="A407" s="27" t="s">
        <v>391</v>
      </c>
      <c r="B407" s="27" t="s">
        <v>392</v>
      </c>
      <c r="C407" s="28">
        <v>6.4</v>
      </c>
      <c r="D407">
        <f t="shared" si="7"/>
        <v>1000000</v>
      </c>
      <c r="E407">
        <v>54</v>
      </c>
      <c r="F407" s="26"/>
    </row>
    <row r="408" spans="1:6" x14ac:dyDescent="0.3">
      <c r="A408" s="32" t="s">
        <v>40</v>
      </c>
      <c r="B408" s="32" t="s">
        <v>204</v>
      </c>
      <c r="C408" s="28">
        <v>4.0999999999999996</v>
      </c>
      <c r="D408">
        <f t="shared" si="7"/>
        <v>1000000</v>
      </c>
      <c r="E408">
        <v>55</v>
      </c>
      <c r="F408" s="26"/>
    </row>
    <row r="409" spans="1:6" x14ac:dyDescent="0.3">
      <c r="A409" s="32" t="s">
        <v>40</v>
      </c>
      <c r="B409" s="32" t="s">
        <v>205</v>
      </c>
      <c r="C409" s="28">
        <v>4.0999999999999996</v>
      </c>
      <c r="D409">
        <f t="shared" si="7"/>
        <v>1000000</v>
      </c>
      <c r="E409">
        <v>55</v>
      </c>
      <c r="F409" s="26"/>
    </row>
    <row r="410" spans="1:6" x14ac:dyDescent="0.3">
      <c r="A410" s="32" t="s">
        <v>40</v>
      </c>
      <c r="B410" s="32" t="s">
        <v>204</v>
      </c>
      <c r="C410" s="28">
        <v>4.0999999999999996</v>
      </c>
      <c r="D410">
        <f t="shared" si="7"/>
        <v>1000000</v>
      </c>
      <c r="E410">
        <v>55</v>
      </c>
      <c r="F410" s="26"/>
    </row>
    <row r="411" spans="1:6" x14ac:dyDescent="0.3">
      <c r="A411" s="32" t="s">
        <v>40</v>
      </c>
      <c r="B411" s="32" t="s">
        <v>203</v>
      </c>
      <c r="C411" s="28">
        <v>5.0999999999999996</v>
      </c>
      <c r="D411">
        <f t="shared" si="7"/>
        <v>1000000</v>
      </c>
      <c r="E411">
        <v>55</v>
      </c>
      <c r="F411" s="26"/>
    </row>
    <row r="412" spans="1:6" x14ac:dyDescent="0.3">
      <c r="A412" s="32" t="s">
        <v>40</v>
      </c>
      <c r="B412" s="32" t="s">
        <v>393</v>
      </c>
      <c r="C412" s="28">
        <v>6.5</v>
      </c>
      <c r="D412">
        <f t="shared" si="7"/>
        <v>1000000</v>
      </c>
      <c r="E412">
        <v>55</v>
      </c>
      <c r="F412" s="26"/>
    </row>
    <row r="413" spans="1:6" x14ac:dyDescent="0.3">
      <c r="A413" s="32" t="s">
        <v>40</v>
      </c>
      <c r="B413" s="32" t="s">
        <v>394</v>
      </c>
      <c r="C413" s="28">
        <v>7.5</v>
      </c>
      <c r="D413">
        <f t="shared" si="7"/>
        <v>1000000</v>
      </c>
      <c r="E413">
        <v>55</v>
      </c>
      <c r="F413" s="26"/>
    </row>
    <row r="414" spans="1:6" x14ac:dyDescent="0.3">
      <c r="A414" s="32" t="s">
        <v>39</v>
      </c>
      <c r="B414" s="32" t="s">
        <v>210</v>
      </c>
      <c r="C414" s="28">
        <v>3.8</v>
      </c>
      <c r="D414">
        <f t="shared" si="7"/>
        <v>1000000</v>
      </c>
      <c r="E414">
        <v>56</v>
      </c>
      <c r="F414" s="26"/>
    </row>
    <row r="415" spans="1:6" x14ac:dyDescent="0.3">
      <c r="A415" s="32" t="s">
        <v>39</v>
      </c>
      <c r="B415" s="32" t="s">
        <v>206</v>
      </c>
      <c r="C415" s="28">
        <v>4.0999999999999996</v>
      </c>
      <c r="D415">
        <f t="shared" si="7"/>
        <v>1000000</v>
      </c>
      <c r="E415">
        <v>56</v>
      </c>
      <c r="F415" s="26"/>
    </row>
    <row r="416" spans="1:6" x14ac:dyDescent="0.3">
      <c r="A416" s="32" t="s">
        <v>39</v>
      </c>
      <c r="B416" s="32" t="s">
        <v>207</v>
      </c>
      <c r="C416" s="28">
        <v>4.0999999999999996</v>
      </c>
      <c r="D416">
        <f t="shared" si="7"/>
        <v>1000000</v>
      </c>
      <c r="E416">
        <v>56</v>
      </c>
      <c r="F416" s="26"/>
    </row>
    <row r="417" spans="1:6" x14ac:dyDescent="0.3">
      <c r="A417" s="32" t="s">
        <v>39</v>
      </c>
      <c r="B417" s="32" t="s">
        <v>206</v>
      </c>
      <c r="C417" s="28">
        <v>4.0999999999999996</v>
      </c>
      <c r="D417">
        <f t="shared" si="7"/>
        <v>1000000</v>
      </c>
      <c r="E417">
        <v>56</v>
      </c>
      <c r="F417" s="26"/>
    </row>
    <row r="418" spans="1:6" x14ac:dyDescent="0.3">
      <c r="A418" s="32" t="s">
        <v>39</v>
      </c>
      <c r="B418" s="32" t="s">
        <v>209</v>
      </c>
      <c r="C418" s="28">
        <v>4.0999999999999996</v>
      </c>
      <c r="D418">
        <f t="shared" si="7"/>
        <v>1000000</v>
      </c>
      <c r="E418">
        <v>56</v>
      </c>
      <c r="F418" s="26"/>
    </row>
    <row r="419" spans="1:6" x14ac:dyDescent="0.3">
      <c r="A419" s="32" t="s">
        <v>39</v>
      </c>
      <c r="B419" s="32" t="s">
        <v>207</v>
      </c>
      <c r="C419" s="28">
        <v>4.0999999999999996</v>
      </c>
      <c r="D419">
        <f t="shared" si="7"/>
        <v>1000000</v>
      </c>
      <c r="E419">
        <v>56</v>
      </c>
      <c r="F419" s="26"/>
    </row>
    <row r="420" spans="1:6" x14ac:dyDescent="0.3">
      <c r="A420" s="32" t="s">
        <v>39</v>
      </c>
      <c r="B420" s="32" t="s">
        <v>206</v>
      </c>
      <c r="C420" s="28">
        <v>4.0999999999999996</v>
      </c>
      <c r="D420">
        <f t="shared" si="7"/>
        <v>1000000</v>
      </c>
      <c r="E420">
        <v>56</v>
      </c>
      <c r="F420" s="26"/>
    </row>
    <row r="421" spans="1:6" x14ac:dyDescent="0.3">
      <c r="A421" s="32" t="s">
        <v>39</v>
      </c>
      <c r="B421" s="32" t="s">
        <v>207</v>
      </c>
      <c r="C421" s="28">
        <v>4.5999999999999996</v>
      </c>
      <c r="D421">
        <f t="shared" si="7"/>
        <v>1000000</v>
      </c>
      <c r="E421">
        <v>56</v>
      </c>
      <c r="F421" s="26"/>
    </row>
    <row r="422" spans="1:6" x14ac:dyDescent="0.3">
      <c r="A422" s="32" t="s">
        <v>39</v>
      </c>
      <c r="B422" s="32" t="s">
        <v>395</v>
      </c>
      <c r="C422" s="28">
        <v>6.3</v>
      </c>
      <c r="D422">
        <f t="shared" si="7"/>
        <v>1000000</v>
      </c>
      <c r="E422">
        <v>56</v>
      </c>
      <c r="F422" s="26"/>
    </row>
    <row r="423" spans="1:6" x14ac:dyDescent="0.3">
      <c r="A423" s="32" t="s">
        <v>39</v>
      </c>
      <c r="B423" s="32" t="s">
        <v>208</v>
      </c>
      <c r="C423" s="28">
        <v>6.5</v>
      </c>
      <c r="D423">
        <f t="shared" si="7"/>
        <v>1000000</v>
      </c>
      <c r="E423">
        <v>56</v>
      </c>
      <c r="F423" s="26"/>
    </row>
    <row r="424" spans="1:6" x14ac:dyDescent="0.3">
      <c r="A424" s="32" t="s">
        <v>39</v>
      </c>
      <c r="B424" s="32" t="s">
        <v>208</v>
      </c>
      <c r="C424" s="28">
        <v>6.5</v>
      </c>
      <c r="D424">
        <f t="shared" si="7"/>
        <v>1000000</v>
      </c>
      <c r="E424">
        <v>56</v>
      </c>
      <c r="F424" s="26"/>
    </row>
    <row r="425" spans="1:6" x14ac:dyDescent="0.3">
      <c r="A425" s="32" t="s">
        <v>39</v>
      </c>
      <c r="B425" s="32" t="s">
        <v>208</v>
      </c>
      <c r="C425" s="28">
        <v>6.5</v>
      </c>
      <c r="D425">
        <f t="shared" si="7"/>
        <v>1000000</v>
      </c>
      <c r="E425">
        <v>56</v>
      </c>
      <c r="F425" s="26"/>
    </row>
    <row r="426" spans="1:6" x14ac:dyDescent="0.3">
      <c r="A426" s="32" t="s">
        <v>41</v>
      </c>
      <c r="B426" s="32" t="s">
        <v>211</v>
      </c>
      <c r="C426" s="28">
        <v>0.5</v>
      </c>
      <c r="D426">
        <f t="shared" si="7"/>
        <v>999999999</v>
      </c>
      <c r="E426">
        <v>57</v>
      </c>
      <c r="F426" s="26" t="s">
        <v>577</v>
      </c>
    </row>
    <row r="427" spans="1:6" x14ac:dyDescent="0.3">
      <c r="A427" s="32" t="s">
        <v>41</v>
      </c>
      <c r="B427" s="32" t="s">
        <v>214</v>
      </c>
      <c r="C427" s="28">
        <v>0.5</v>
      </c>
      <c r="D427">
        <f t="shared" si="7"/>
        <v>999999999</v>
      </c>
      <c r="E427">
        <v>57</v>
      </c>
      <c r="F427" s="26" t="s">
        <v>577</v>
      </c>
    </row>
    <row r="428" spans="1:6" x14ac:dyDescent="0.3">
      <c r="A428" s="32" t="s">
        <v>41</v>
      </c>
      <c r="B428" s="32" t="s">
        <v>213</v>
      </c>
      <c r="C428" s="28">
        <v>4.0999999999999996</v>
      </c>
      <c r="D428">
        <f t="shared" si="7"/>
        <v>999999999</v>
      </c>
      <c r="E428">
        <v>57</v>
      </c>
      <c r="F428" s="26" t="s">
        <v>577</v>
      </c>
    </row>
    <row r="429" spans="1:6" x14ac:dyDescent="0.3">
      <c r="A429" s="32" t="s">
        <v>41</v>
      </c>
      <c r="B429" s="32" t="s">
        <v>212</v>
      </c>
      <c r="C429" s="28">
        <v>12</v>
      </c>
      <c r="D429">
        <f t="shared" si="7"/>
        <v>999999999</v>
      </c>
      <c r="E429">
        <v>57</v>
      </c>
      <c r="F429" s="26" t="s">
        <v>577</v>
      </c>
    </row>
    <row r="430" spans="1:6" x14ac:dyDescent="0.3">
      <c r="A430" s="32" t="s">
        <v>42</v>
      </c>
      <c r="B430" s="32" t="s">
        <v>215</v>
      </c>
      <c r="C430" s="28">
        <v>0.5</v>
      </c>
      <c r="D430">
        <f t="shared" si="7"/>
        <v>999999999</v>
      </c>
      <c r="E430">
        <v>58</v>
      </c>
      <c r="F430" s="26" t="s">
        <v>577</v>
      </c>
    </row>
    <row r="431" spans="1:6" x14ac:dyDescent="0.3">
      <c r="A431" s="32" t="s">
        <v>42</v>
      </c>
      <c r="B431" s="32" t="s">
        <v>218</v>
      </c>
      <c r="C431" s="28">
        <v>0.5</v>
      </c>
      <c r="D431">
        <f t="shared" si="7"/>
        <v>999999999</v>
      </c>
      <c r="E431">
        <v>58</v>
      </c>
      <c r="F431" s="26" t="s">
        <v>577</v>
      </c>
    </row>
    <row r="432" spans="1:6" x14ac:dyDescent="0.3">
      <c r="A432" s="32" t="s">
        <v>42</v>
      </c>
      <c r="B432" s="32" t="s">
        <v>217</v>
      </c>
      <c r="C432" s="28">
        <v>4.0999999999999996</v>
      </c>
      <c r="D432">
        <f t="shared" si="7"/>
        <v>999999999</v>
      </c>
      <c r="E432">
        <v>58</v>
      </c>
      <c r="F432" s="26" t="s">
        <v>577</v>
      </c>
    </row>
    <row r="433" spans="1:6" x14ac:dyDescent="0.3">
      <c r="A433" s="32" t="s">
        <v>42</v>
      </c>
      <c r="B433" s="32" t="s">
        <v>216</v>
      </c>
      <c r="C433" s="28">
        <v>12</v>
      </c>
      <c r="D433">
        <f t="shared" si="7"/>
        <v>999999999</v>
      </c>
      <c r="E433">
        <v>58</v>
      </c>
      <c r="F433" s="26" t="s">
        <v>577</v>
      </c>
    </row>
    <row r="434" spans="1:6" x14ac:dyDescent="0.3">
      <c r="A434" s="30" t="s">
        <v>396</v>
      </c>
      <c r="B434" s="38" t="s">
        <v>487</v>
      </c>
      <c r="C434" s="31">
        <v>4.5</v>
      </c>
      <c r="D434">
        <f t="shared" si="7"/>
        <v>999999999</v>
      </c>
      <c r="E434">
        <v>59</v>
      </c>
      <c r="F434" s="29" t="s">
        <v>577</v>
      </c>
    </row>
    <row r="435" spans="1:6" x14ac:dyDescent="0.3">
      <c r="A435" s="30" t="s">
        <v>396</v>
      </c>
      <c r="B435" s="38" t="s">
        <v>484</v>
      </c>
      <c r="C435" s="31">
        <v>7.2</v>
      </c>
      <c r="D435">
        <f t="shared" si="7"/>
        <v>999999999</v>
      </c>
      <c r="E435">
        <v>59</v>
      </c>
      <c r="F435" s="29" t="s">
        <v>577</v>
      </c>
    </row>
    <row r="436" spans="1:6" x14ac:dyDescent="0.3">
      <c r="A436" s="30" t="s">
        <v>396</v>
      </c>
      <c r="B436" s="38" t="s">
        <v>485</v>
      </c>
      <c r="C436" s="31">
        <v>7.2</v>
      </c>
      <c r="D436">
        <f t="shared" si="7"/>
        <v>999999999</v>
      </c>
      <c r="E436">
        <v>59</v>
      </c>
      <c r="F436" s="29" t="s">
        <v>577</v>
      </c>
    </row>
    <row r="437" spans="1:6" x14ac:dyDescent="0.3">
      <c r="A437" s="30" t="s">
        <v>396</v>
      </c>
      <c r="B437" s="38" t="s">
        <v>484</v>
      </c>
      <c r="C437" s="31">
        <v>7.2</v>
      </c>
      <c r="D437">
        <f t="shared" si="7"/>
        <v>999999999</v>
      </c>
      <c r="E437">
        <v>59</v>
      </c>
      <c r="F437" s="29" t="s">
        <v>577</v>
      </c>
    </row>
    <row r="438" spans="1:6" x14ac:dyDescent="0.3">
      <c r="A438" s="30" t="s">
        <v>396</v>
      </c>
      <c r="B438" s="38" t="s">
        <v>485</v>
      </c>
      <c r="C438" s="31">
        <v>7.2</v>
      </c>
      <c r="D438">
        <f t="shared" si="7"/>
        <v>999999999</v>
      </c>
      <c r="E438">
        <v>59</v>
      </c>
      <c r="F438" s="29" t="s">
        <v>577</v>
      </c>
    </row>
    <row r="439" spans="1:6" x14ac:dyDescent="0.3">
      <c r="A439" s="30" t="s">
        <v>396</v>
      </c>
      <c r="B439" s="38" t="s">
        <v>484</v>
      </c>
      <c r="C439" s="31">
        <v>7.2</v>
      </c>
      <c r="D439">
        <f t="shared" si="7"/>
        <v>999999999</v>
      </c>
      <c r="E439">
        <v>59</v>
      </c>
      <c r="F439" s="29" t="s">
        <v>577</v>
      </c>
    </row>
    <row r="440" spans="1:6" x14ac:dyDescent="0.3">
      <c r="A440" s="30" t="s">
        <v>396</v>
      </c>
      <c r="B440" s="38" t="s">
        <v>485</v>
      </c>
      <c r="C440" s="31">
        <v>7.2</v>
      </c>
      <c r="D440">
        <f t="shared" si="7"/>
        <v>999999999</v>
      </c>
      <c r="E440">
        <v>59</v>
      </c>
      <c r="F440" s="29" t="s">
        <v>577</v>
      </c>
    </row>
    <row r="441" spans="1:6" x14ac:dyDescent="0.3">
      <c r="A441" s="30" t="s">
        <v>396</v>
      </c>
      <c r="B441" s="38" t="s">
        <v>488</v>
      </c>
      <c r="C441" s="31">
        <v>9.8000000000000007</v>
      </c>
      <c r="D441">
        <f t="shared" si="7"/>
        <v>999999999</v>
      </c>
      <c r="E441">
        <v>59</v>
      </c>
      <c r="F441" s="29" t="s">
        <v>577</v>
      </c>
    </row>
    <row r="442" spans="1:6" x14ac:dyDescent="0.3">
      <c r="A442" s="30" t="s">
        <v>396</v>
      </c>
      <c r="B442" s="38" t="s">
        <v>489</v>
      </c>
      <c r="C442" s="31">
        <v>9.8000000000000007</v>
      </c>
      <c r="D442">
        <f t="shared" si="7"/>
        <v>999999999</v>
      </c>
      <c r="E442">
        <v>59</v>
      </c>
      <c r="F442" s="29" t="s">
        <v>577</v>
      </c>
    </row>
    <row r="443" spans="1:6" x14ac:dyDescent="0.3">
      <c r="A443" s="30" t="s">
        <v>396</v>
      </c>
      <c r="B443" s="38" t="s">
        <v>486</v>
      </c>
      <c r="C443" s="31">
        <v>14</v>
      </c>
      <c r="D443">
        <f t="shared" si="7"/>
        <v>999999999</v>
      </c>
      <c r="E443">
        <v>59</v>
      </c>
      <c r="F443" s="29" t="s">
        <v>577</v>
      </c>
    </row>
    <row r="444" spans="1:6" x14ac:dyDescent="0.3">
      <c r="A444" s="30" t="s">
        <v>396</v>
      </c>
      <c r="B444" s="38" t="s">
        <v>486</v>
      </c>
      <c r="C444" s="31">
        <v>14</v>
      </c>
      <c r="D444">
        <f t="shared" si="7"/>
        <v>999999999</v>
      </c>
      <c r="E444">
        <v>59</v>
      </c>
      <c r="F444" s="29" t="s">
        <v>577</v>
      </c>
    </row>
    <row r="445" spans="1:6" x14ac:dyDescent="0.3">
      <c r="A445" s="32" t="s">
        <v>43</v>
      </c>
      <c r="B445" s="32" t="s">
        <v>397</v>
      </c>
      <c r="C445" s="28">
        <v>2.8</v>
      </c>
      <c r="D445">
        <f t="shared" si="7"/>
        <v>1000000</v>
      </c>
      <c r="E445">
        <v>60</v>
      </c>
      <c r="F445" s="26"/>
    </row>
    <row r="446" spans="1:6" x14ac:dyDescent="0.3">
      <c r="A446" s="32" t="s">
        <v>43</v>
      </c>
      <c r="B446" s="32" t="s">
        <v>221</v>
      </c>
      <c r="C446" s="28">
        <v>3.8</v>
      </c>
      <c r="D446">
        <f t="shared" si="7"/>
        <v>1000000</v>
      </c>
      <c r="E446">
        <v>60</v>
      </c>
      <c r="F446" s="26"/>
    </row>
    <row r="447" spans="1:6" x14ac:dyDescent="0.3">
      <c r="A447" s="32" t="s">
        <v>43</v>
      </c>
      <c r="B447" s="32" t="s">
        <v>219</v>
      </c>
      <c r="C447" s="28">
        <v>5.0999999999999996</v>
      </c>
      <c r="D447">
        <f t="shared" si="7"/>
        <v>1000000</v>
      </c>
      <c r="E447">
        <v>60</v>
      </c>
      <c r="F447" s="26"/>
    </row>
    <row r="448" spans="1:6" x14ac:dyDescent="0.3">
      <c r="A448" s="32" t="s">
        <v>43</v>
      </c>
      <c r="B448" s="32" t="s">
        <v>219</v>
      </c>
      <c r="C448" s="28">
        <v>5.0999999999999996</v>
      </c>
      <c r="D448">
        <f t="shared" si="7"/>
        <v>1000000</v>
      </c>
      <c r="E448">
        <v>60</v>
      </c>
      <c r="F448" s="26"/>
    </row>
    <row r="449" spans="1:6" x14ac:dyDescent="0.3">
      <c r="A449" s="32" t="s">
        <v>43</v>
      </c>
      <c r="B449" s="32" t="s">
        <v>220</v>
      </c>
      <c r="C449" s="28">
        <v>6</v>
      </c>
      <c r="D449">
        <f t="shared" si="7"/>
        <v>1000000</v>
      </c>
      <c r="E449">
        <v>60</v>
      </c>
      <c r="F449" s="26"/>
    </row>
    <row r="450" spans="1:6" x14ac:dyDescent="0.3">
      <c r="A450" s="32" t="s">
        <v>43</v>
      </c>
      <c r="B450" s="32" t="s">
        <v>220</v>
      </c>
      <c r="C450" s="28">
        <v>6</v>
      </c>
      <c r="D450">
        <f t="shared" si="7"/>
        <v>1000000</v>
      </c>
      <c r="E450">
        <v>60</v>
      </c>
      <c r="F450" s="26"/>
    </row>
    <row r="451" spans="1:6" x14ac:dyDescent="0.3">
      <c r="A451" s="32" t="s">
        <v>31</v>
      </c>
      <c r="B451" s="32" t="s">
        <v>223</v>
      </c>
      <c r="C451" s="28">
        <v>2.5</v>
      </c>
      <c r="D451">
        <f t="shared" si="7"/>
        <v>1000000</v>
      </c>
      <c r="E451">
        <v>61</v>
      </c>
      <c r="F451" s="26"/>
    </row>
    <row r="452" spans="1:6" x14ac:dyDescent="0.3">
      <c r="A452" s="32" t="s">
        <v>31</v>
      </c>
      <c r="B452" s="32" t="s">
        <v>224</v>
      </c>
      <c r="C452" s="28">
        <v>2.8</v>
      </c>
      <c r="D452">
        <f t="shared" si="7"/>
        <v>1000000</v>
      </c>
      <c r="E452">
        <v>61</v>
      </c>
      <c r="F452" s="26"/>
    </row>
    <row r="453" spans="1:6" x14ac:dyDescent="0.3">
      <c r="A453" s="32" t="s">
        <v>31</v>
      </c>
      <c r="B453" s="32" t="s">
        <v>222</v>
      </c>
      <c r="C453" s="28">
        <v>8.5</v>
      </c>
      <c r="D453">
        <f t="shared" si="7"/>
        <v>1000000</v>
      </c>
      <c r="E453">
        <v>61</v>
      </c>
      <c r="F453" s="26"/>
    </row>
    <row r="454" spans="1:6" x14ac:dyDescent="0.3">
      <c r="A454" s="32" t="s">
        <v>44</v>
      </c>
      <c r="B454" s="32" t="s">
        <v>226</v>
      </c>
      <c r="C454" s="28">
        <v>3.5</v>
      </c>
      <c r="D454">
        <f t="shared" si="7"/>
        <v>999999999</v>
      </c>
      <c r="E454">
        <v>62</v>
      </c>
      <c r="F454" s="26" t="s">
        <v>577</v>
      </c>
    </row>
    <row r="455" spans="1:6" x14ac:dyDescent="0.3">
      <c r="A455" s="32" t="s">
        <v>44</v>
      </c>
      <c r="B455" s="32" t="s">
        <v>225</v>
      </c>
      <c r="C455" s="28">
        <v>3.8</v>
      </c>
      <c r="D455">
        <f t="shared" si="7"/>
        <v>999999999</v>
      </c>
      <c r="E455">
        <v>62</v>
      </c>
      <c r="F455" s="26" t="s">
        <v>577</v>
      </c>
    </row>
    <row r="456" spans="1:6" x14ac:dyDescent="0.3">
      <c r="A456" s="32" t="s">
        <v>44</v>
      </c>
      <c r="B456" s="32" t="s">
        <v>227</v>
      </c>
      <c r="C456" s="28">
        <v>3.8</v>
      </c>
      <c r="D456">
        <f t="shared" si="7"/>
        <v>999999999</v>
      </c>
      <c r="E456">
        <v>62</v>
      </c>
      <c r="F456" s="26" t="s">
        <v>577</v>
      </c>
    </row>
    <row r="457" spans="1:6" x14ac:dyDescent="0.3">
      <c r="A457" s="38" t="s">
        <v>285</v>
      </c>
      <c r="B457" s="38" t="s">
        <v>297</v>
      </c>
      <c r="C457" s="28">
        <v>0.5</v>
      </c>
      <c r="D457">
        <f t="shared" ref="D457:D520" si="8">IF(F457="Sabit",999999999,1000000)</f>
        <v>1000000</v>
      </c>
      <c r="E457">
        <v>63</v>
      </c>
      <c r="F457" s="26"/>
    </row>
    <row r="458" spans="1:6" x14ac:dyDescent="0.3">
      <c r="A458" s="38" t="s">
        <v>285</v>
      </c>
      <c r="B458" s="38" t="s">
        <v>299</v>
      </c>
      <c r="C458" s="28">
        <v>2.1</v>
      </c>
      <c r="D458">
        <f t="shared" si="8"/>
        <v>1000000</v>
      </c>
      <c r="E458">
        <v>63</v>
      </c>
      <c r="F458" s="26"/>
    </row>
    <row r="459" spans="1:6" x14ac:dyDescent="0.3">
      <c r="A459" s="38" t="s">
        <v>285</v>
      </c>
      <c r="B459" s="38" t="s">
        <v>298</v>
      </c>
      <c r="C459" s="28">
        <v>3.4</v>
      </c>
      <c r="D459">
        <f t="shared" si="8"/>
        <v>1000000</v>
      </c>
      <c r="E459">
        <v>63</v>
      </c>
      <c r="F459" s="26"/>
    </row>
    <row r="460" spans="1:6" x14ac:dyDescent="0.3">
      <c r="A460" s="38" t="s">
        <v>285</v>
      </c>
      <c r="B460" s="38" t="s">
        <v>301</v>
      </c>
      <c r="C460" s="28">
        <v>4</v>
      </c>
      <c r="D460">
        <f t="shared" si="8"/>
        <v>1000000</v>
      </c>
      <c r="E460">
        <v>63</v>
      </c>
      <c r="F460" s="26"/>
    </row>
    <row r="461" spans="1:6" x14ac:dyDescent="0.3">
      <c r="A461" s="38" t="s">
        <v>285</v>
      </c>
      <c r="B461" s="38" t="s">
        <v>300</v>
      </c>
      <c r="C461" s="28">
        <v>7</v>
      </c>
      <c r="D461">
        <f t="shared" si="8"/>
        <v>1000000</v>
      </c>
      <c r="E461">
        <v>63</v>
      </c>
      <c r="F461" s="26"/>
    </row>
    <row r="462" spans="1:6" x14ac:dyDescent="0.3">
      <c r="A462" s="32" t="s">
        <v>45</v>
      </c>
      <c r="B462" s="32" t="s">
        <v>231</v>
      </c>
      <c r="C462" s="28">
        <v>1.5</v>
      </c>
      <c r="D462">
        <f t="shared" si="8"/>
        <v>1000000</v>
      </c>
      <c r="E462">
        <v>64</v>
      </c>
      <c r="F462" s="26"/>
    </row>
    <row r="463" spans="1:6" x14ac:dyDescent="0.3">
      <c r="A463" s="32" t="s">
        <v>45</v>
      </c>
      <c r="B463" s="32" t="s">
        <v>228</v>
      </c>
      <c r="C463" s="28">
        <v>3.4</v>
      </c>
      <c r="D463">
        <f t="shared" si="8"/>
        <v>1000000</v>
      </c>
      <c r="E463">
        <v>64</v>
      </c>
      <c r="F463" s="26"/>
    </row>
    <row r="464" spans="1:6" x14ac:dyDescent="0.3">
      <c r="A464" s="32" t="s">
        <v>45</v>
      </c>
      <c r="B464" s="32" t="s">
        <v>230</v>
      </c>
      <c r="C464" s="28">
        <v>4.2</v>
      </c>
      <c r="D464">
        <f t="shared" si="8"/>
        <v>1000000</v>
      </c>
      <c r="E464">
        <v>64</v>
      </c>
      <c r="F464" s="26"/>
    </row>
    <row r="465" spans="1:6" x14ac:dyDescent="0.3">
      <c r="A465" s="32" t="s">
        <v>45</v>
      </c>
      <c r="B465" s="32" t="s">
        <v>229</v>
      </c>
      <c r="C465" s="28">
        <v>6.4</v>
      </c>
      <c r="D465">
        <f t="shared" si="8"/>
        <v>1000000</v>
      </c>
      <c r="E465">
        <v>64</v>
      </c>
      <c r="F465" s="26"/>
    </row>
    <row r="466" spans="1:6" x14ac:dyDescent="0.3">
      <c r="A466" s="32" t="s">
        <v>46</v>
      </c>
      <c r="B466" s="32" t="s">
        <v>232</v>
      </c>
      <c r="C466" s="28">
        <v>0.5</v>
      </c>
      <c r="D466">
        <f t="shared" si="8"/>
        <v>1000000</v>
      </c>
      <c r="E466">
        <v>65</v>
      </c>
      <c r="F466" s="26"/>
    </row>
    <row r="467" spans="1:6" x14ac:dyDescent="0.3">
      <c r="A467" s="32" t="s">
        <v>46</v>
      </c>
      <c r="B467" s="32" t="s">
        <v>236</v>
      </c>
      <c r="C467" s="28">
        <v>0.5</v>
      </c>
      <c r="D467">
        <f t="shared" si="8"/>
        <v>1000000</v>
      </c>
      <c r="E467">
        <v>65</v>
      </c>
      <c r="F467" s="26"/>
    </row>
    <row r="468" spans="1:6" x14ac:dyDescent="0.3">
      <c r="A468" s="32" t="s">
        <v>46</v>
      </c>
      <c r="B468" s="32" t="s">
        <v>237</v>
      </c>
      <c r="C468" s="28">
        <v>0.5</v>
      </c>
      <c r="D468">
        <f t="shared" si="8"/>
        <v>1000000</v>
      </c>
      <c r="E468">
        <v>65</v>
      </c>
      <c r="F468" s="26"/>
    </row>
    <row r="469" spans="1:6" x14ac:dyDescent="0.3">
      <c r="A469" s="32" t="s">
        <v>46</v>
      </c>
      <c r="B469" s="32" t="s">
        <v>237</v>
      </c>
      <c r="C469" s="28">
        <v>0.5</v>
      </c>
      <c r="D469">
        <f t="shared" si="8"/>
        <v>1000000</v>
      </c>
      <c r="E469">
        <v>65</v>
      </c>
      <c r="F469" s="26"/>
    </row>
    <row r="470" spans="1:6" x14ac:dyDescent="0.3">
      <c r="A470" s="32" t="s">
        <v>46</v>
      </c>
      <c r="B470" s="32" t="s">
        <v>232</v>
      </c>
      <c r="C470" s="28">
        <v>0.5</v>
      </c>
      <c r="D470">
        <f t="shared" si="8"/>
        <v>1000000</v>
      </c>
      <c r="E470">
        <v>65</v>
      </c>
      <c r="F470" s="26"/>
    </row>
    <row r="471" spans="1:6" x14ac:dyDescent="0.3">
      <c r="A471" s="32" t="s">
        <v>46</v>
      </c>
      <c r="B471" s="32" t="s">
        <v>236</v>
      </c>
      <c r="C471" s="28">
        <v>0.5</v>
      </c>
      <c r="D471">
        <f t="shared" si="8"/>
        <v>1000000</v>
      </c>
      <c r="E471">
        <v>65</v>
      </c>
      <c r="F471" s="26"/>
    </row>
    <row r="472" spans="1:6" x14ac:dyDescent="0.3">
      <c r="A472" s="32" t="s">
        <v>46</v>
      </c>
      <c r="B472" s="32" t="s">
        <v>235</v>
      </c>
      <c r="C472" s="28">
        <v>2.1</v>
      </c>
      <c r="D472">
        <f t="shared" si="8"/>
        <v>1000000</v>
      </c>
      <c r="E472">
        <v>65</v>
      </c>
      <c r="F472" s="26"/>
    </row>
    <row r="473" spans="1:6" x14ac:dyDescent="0.3">
      <c r="A473" s="32" t="s">
        <v>46</v>
      </c>
      <c r="B473" s="32" t="s">
        <v>233</v>
      </c>
      <c r="C473" s="28">
        <v>3.1</v>
      </c>
      <c r="D473">
        <f t="shared" si="8"/>
        <v>1000000</v>
      </c>
      <c r="E473">
        <v>65</v>
      </c>
      <c r="F473" s="26"/>
    </row>
    <row r="474" spans="1:6" x14ac:dyDescent="0.3">
      <c r="A474" s="32" t="s">
        <v>46</v>
      </c>
      <c r="B474" s="32" t="s">
        <v>399</v>
      </c>
      <c r="C474" s="28">
        <v>3.1</v>
      </c>
      <c r="D474">
        <f t="shared" si="8"/>
        <v>1000000</v>
      </c>
      <c r="E474">
        <v>65</v>
      </c>
      <c r="F474" s="26"/>
    </row>
    <row r="475" spans="1:6" x14ac:dyDescent="0.3">
      <c r="A475" s="32" t="s">
        <v>46</v>
      </c>
      <c r="B475" s="32" t="s">
        <v>233</v>
      </c>
      <c r="C475" s="28">
        <v>3.1</v>
      </c>
      <c r="D475">
        <f t="shared" si="8"/>
        <v>1000000</v>
      </c>
      <c r="E475">
        <v>65</v>
      </c>
      <c r="F475" s="26"/>
    </row>
    <row r="476" spans="1:6" x14ac:dyDescent="0.3">
      <c r="A476" s="32" t="s">
        <v>46</v>
      </c>
      <c r="B476" s="32" t="s">
        <v>234</v>
      </c>
      <c r="C476" s="28">
        <v>4.2</v>
      </c>
      <c r="D476">
        <f t="shared" si="8"/>
        <v>1000000</v>
      </c>
      <c r="E476">
        <v>65</v>
      </c>
      <c r="F476" s="26"/>
    </row>
    <row r="477" spans="1:6" x14ac:dyDescent="0.3">
      <c r="A477" s="32" t="s">
        <v>46</v>
      </c>
      <c r="B477" s="32" t="s">
        <v>234</v>
      </c>
      <c r="C477" s="28">
        <v>4.2</v>
      </c>
      <c r="D477">
        <f t="shared" si="8"/>
        <v>1000000</v>
      </c>
      <c r="E477">
        <v>65</v>
      </c>
      <c r="F477" s="26"/>
    </row>
    <row r="478" spans="1:6" x14ac:dyDescent="0.3">
      <c r="A478" s="32" t="s">
        <v>46</v>
      </c>
      <c r="B478" s="32" t="s">
        <v>398</v>
      </c>
      <c r="C478" s="28">
        <v>6.3</v>
      </c>
      <c r="D478">
        <f t="shared" si="8"/>
        <v>1000000</v>
      </c>
      <c r="E478">
        <v>65</v>
      </c>
      <c r="F478" s="26"/>
    </row>
    <row r="479" spans="1:6" x14ac:dyDescent="0.3">
      <c r="A479" s="32" t="s">
        <v>47</v>
      </c>
      <c r="B479" s="32" t="s">
        <v>238</v>
      </c>
      <c r="C479" s="28">
        <v>1.5</v>
      </c>
      <c r="D479">
        <f t="shared" si="8"/>
        <v>999999999</v>
      </c>
      <c r="E479">
        <v>66</v>
      </c>
      <c r="F479" s="26" t="s">
        <v>577</v>
      </c>
    </row>
    <row r="480" spans="1:6" x14ac:dyDescent="0.3">
      <c r="A480" s="32" t="s">
        <v>47</v>
      </c>
      <c r="B480" s="32" t="s">
        <v>401</v>
      </c>
      <c r="C480" s="28">
        <v>1.5</v>
      </c>
      <c r="D480">
        <f t="shared" si="8"/>
        <v>999999999</v>
      </c>
      <c r="E480">
        <v>66</v>
      </c>
      <c r="F480" s="26" t="s">
        <v>577</v>
      </c>
    </row>
    <row r="481" spans="1:6" x14ac:dyDescent="0.3">
      <c r="A481" s="32" t="s">
        <v>47</v>
      </c>
      <c r="B481" s="32" t="s">
        <v>238</v>
      </c>
      <c r="C481" s="28">
        <v>1.5</v>
      </c>
      <c r="D481">
        <f t="shared" si="8"/>
        <v>999999999</v>
      </c>
      <c r="E481">
        <v>66</v>
      </c>
      <c r="F481" s="26" t="s">
        <v>577</v>
      </c>
    </row>
    <row r="482" spans="1:6" x14ac:dyDescent="0.3">
      <c r="A482" s="32" t="s">
        <v>47</v>
      </c>
      <c r="B482" s="32" t="s">
        <v>401</v>
      </c>
      <c r="C482" s="28">
        <v>1.5</v>
      </c>
      <c r="D482">
        <f t="shared" si="8"/>
        <v>999999999</v>
      </c>
      <c r="E482">
        <v>66</v>
      </c>
      <c r="F482" s="26" t="s">
        <v>577</v>
      </c>
    </row>
    <row r="483" spans="1:6" x14ac:dyDescent="0.3">
      <c r="A483" s="32" t="s">
        <v>47</v>
      </c>
      <c r="B483" s="32" t="s">
        <v>401</v>
      </c>
      <c r="C483" s="28">
        <v>1.5</v>
      </c>
      <c r="D483">
        <f t="shared" si="8"/>
        <v>999999999</v>
      </c>
      <c r="E483">
        <v>66</v>
      </c>
      <c r="F483" s="26" t="s">
        <v>577</v>
      </c>
    </row>
    <row r="484" spans="1:6" x14ac:dyDescent="0.3">
      <c r="A484" s="32" t="s">
        <v>47</v>
      </c>
      <c r="B484" s="32" t="s">
        <v>401</v>
      </c>
      <c r="C484" s="28">
        <v>1.5</v>
      </c>
      <c r="D484">
        <f t="shared" si="8"/>
        <v>999999999</v>
      </c>
      <c r="E484">
        <v>66</v>
      </c>
      <c r="F484" s="26" t="s">
        <v>577</v>
      </c>
    </row>
    <row r="485" spans="1:6" x14ac:dyDescent="0.3">
      <c r="A485" s="32" t="s">
        <v>47</v>
      </c>
      <c r="B485" s="32" t="s">
        <v>241</v>
      </c>
      <c r="C485" s="28">
        <v>2.8</v>
      </c>
      <c r="D485">
        <f t="shared" si="8"/>
        <v>999999999</v>
      </c>
      <c r="E485">
        <v>66</v>
      </c>
      <c r="F485" s="26" t="s">
        <v>577</v>
      </c>
    </row>
    <row r="486" spans="1:6" x14ac:dyDescent="0.3">
      <c r="A486" s="32" t="s">
        <v>47</v>
      </c>
      <c r="B486" s="32" t="s">
        <v>400</v>
      </c>
      <c r="C486" s="28">
        <v>2.8</v>
      </c>
      <c r="D486">
        <f t="shared" si="8"/>
        <v>999999999</v>
      </c>
      <c r="E486">
        <v>66</v>
      </c>
      <c r="F486" s="26" t="s">
        <v>577</v>
      </c>
    </row>
    <row r="487" spans="1:6" x14ac:dyDescent="0.3">
      <c r="A487" s="32" t="s">
        <v>47</v>
      </c>
      <c r="B487" s="32" t="s">
        <v>402</v>
      </c>
      <c r="C487" s="28">
        <v>3.1</v>
      </c>
      <c r="D487">
        <f t="shared" si="8"/>
        <v>999999999</v>
      </c>
      <c r="E487">
        <v>66</v>
      </c>
      <c r="F487" s="26" t="s">
        <v>577</v>
      </c>
    </row>
    <row r="488" spans="1:6" x14ac:dyDescent="0.3">
      <c r="A488" s="32" t="s">
        <v>47</v>
      </c>
      <c r="B488" s="32" t="s">
        <v>238</v>
      </c>
      <c r="C488" s="28">
        <v>3.8</v>
      </c>
      <c r="D488">
        <f t="shared" si="8"/>
        <v>999999999</v>
      </c>
      <c r="E488">
        <v>66</v>
      </c>
      <c r="F488" s="26" t="s">
        <v>577</v>
      </c>
    </row>
    <row r="489" spans="1:6" x14ac:dyDescent="0.3">
      <c r="A489" s="32" t="s">
        <v>47</v>
      </c>
      <c r="B489" s="32" t="s">
        <v>400</v>
      </c>
      <c r="C489" s="28">
        <v>4</v>
      </c>
      <c r="D489">
        <f t="shared" si="8"/>
        <v>999999999</v>
      </c>
      <c r="E489">
        <v>66</v>
      </c>
      <c r="F489" s="26" t="s">
        <v>577</v>
      </c>
    </row>
    <row r="490" spans="1:6" x14ac:dyDescent="0.3">
      <c r="A490" s="32" t="s">
        <v>47</v>
      </c>
      <c r="B490" s="32" t="s">
        <v>400</v>
      </c>
      <c r="C490" s="28">
        <v>4</v>
      </c>
      <c r="D490">
        <f t="shared" si="8"/>
        <v>999999999</v>
      </c>
      <c r="E490">
        <v>66</v>
      </c>
      <c r="F490" s="26" t="s">
        <v>577</v>
      </c>
    </row>
    <row r="491" spans="1:6" x14ac:dyDescent="0.3">
      <c r="A491" s="32" t="s">
        <v>47</v>
      </c>
      <c r="B491" s="32" t="s">
        <v>400</v>
      </c>
      <c r="C491" s="28">
        <v>4</v>
      </c>
      <c r="D491">
        <f t="shared" si="8"/>
        <v>999999999</v>
      </c>
      <c r="E491">
        <v>66</v>
      </c>
      <c r="F491" s="26" t="s">
        <v>577</v>
      </c>
    </row>
    <row r="492" spans="1:6" x14ac:dyDescent="0.3">
      <c r="A492" s="32" t="s">
        <v>47</v>
      </c>
      <c r="B492" s="32" t="s">
        <v>239</v>
      </c>
      <c r="C492" s="28">
        <v>4.3</v>
      </c>
      <c r="D492">
        <f t="shared" si="8"/>
        <v>999999999</v>
      </c>
      <c r="E492">
        <v>66</v>
      </c>
      <c r="F492" s="26" t="s">
        <v>577</v>
      </c>
    </row>
    <row r="493" spans="1:6" x14ac:dyDescent="0.3">
      <c r="A493" s="32" t="s">
        <v>47</v>
      </c>
      <c r="B493" s="32" t="s">
        <v>239</v>
      </c>
      <c r="C493" s="28">
        <v>4.3</v>
      </c>
      <c r="D493">
        <f t="shared" si="8"/>
        <v>999999999</v>
      </c>
      <c r="E493">
        <v>66</v>
      </c>
      <c r="F493" s="26" t="s">
        <v>577</v>
      </c>
    </row>
    <row r="494" spans="1:6" x14ac:dyDescent="0.3">
      <c r="A494" s="32" t="s">
        <v>47</v>
      </c>
      <c r="B494" s="32" t="s">
        <v>239</v>
      </c>
      <c r="C494" s="28">
        <v>4.3</v>
      </c>
      <c r="D494">
        <f t="shared" si="8"/>
        <v>999999999</v>
      </c>
      <c r="E494">
        <v>66</v>
      </c>
      <c r="F494" s="26" t="s">
        <v>577</v>
      </c>
    </row>
    <row r="495" spans="1:6" x14ac:dyDescent="0.3">
      <c r="A495" s="32" t="s">
        <v>47</v>
      </c>
      <c r="B495" s="32" t="s">
        <v>239</v>
      </c>
      <c r="C495" s="28">
        <v>4.3</v>
      </c>
      <c r="D495">
        <f t="shared" si="8"/>
        <v>999999999</v>
      </c>
      <c r="E495">
        <v>66</v>
      </c>
      <c r="F495" s="26" t="s">
        <v>577</v>
      </c>
    </row>
    <row r="496" spans="1:6" x14ac:dyDescent="0.3">
      <c r="A496" s="32" t="s">
        <v>47</v>
      </c>
      <c r="B496" s="32" t="s">
        <v>239</v>
      </c>
      <c r="C496" s="28">
        <v>4.3</v>
      </c>
      <c r="D496">
        <f t="shared" si="8"/>
        <v>999999999</v>
      </c>
      <c r="E496">
        <v>66</v>
      </c>
      <c r="F496" s="26" t="s">
        <v>577</v>
      </c>
    </row>
    <row r="497" spans="1:6" x14ac:dyDescent="0.3">
      <c r="A497" s="32" t="s">
        <v>47</v>
      </c>
      <c r="B497" s="32" t="s">
        <v>240</v>
      </c>
      <c r="C497" s="28">
        <v>4.5</v>
      </c>
      <c r="D497">
        <f t="shared" si="8"/>
        <v>999999999</v>
      </c>
      <c r="E497">
        <v>66</v>
      </c>
      <c r="F497" s="26" t="s">
        <v>577</v>
      </c>
    </row>
    <row r="498" spans="1:6" x14ac:dyDescent="0.3">
      <c r="A498" s="32" t="s">
        <v>47</v>
      </c>
      <c r="B498" s="32" t="s">
        <v>240</v>
      </c>
      <c r="C498" s="28">
        <v>4.5</v>
      </c>
      <c r="D498">
        <f t="shared" si="8"/>
        <v>999999999</v>
      </c>
      <c r="E498">
        <v>66</v>
      </c>
      <c r="F498" s="26" t="s">
        <v>577</v>
      </c>
    </row>
    <row r="499" spans="1:6" x14ac:dyDescent="0.3">
      <c r="A499" s="32" t="s">
        <v>47</v>
      </c>
      <c r="B499" s="32" t="s">
        <v>240</v>
      </c>
      <c r="C499" s="28">
        <v>4.5</v>
      </c>
      <c r="D499">
        <f t="shared" si="8"/>
        <v>999999999</v>
      </c>
      <c r="E499">
        <v>66</v>
      </c>
      <c r="F499" s="26" t="s">
        <v>577</v>
      </c>
    </row>
    <row r="500" spans="1:6" x14ac:dyDescent="0.3">
      <c r="A500" s="32" t="s">
        <v>47</v>
      </c>
      <c r="B500" s="32" t="s">
        <v>240</v>
      </c>
      <c r="C500" s="28">
        <v>4.5</v>
      </c>
      <c r="D500">
        <f t="shared" si="8"/>
        <v>999999999</v>
      </c>
      <c r="E500">
        <v>66</v>
      </c>
      <c r="F500" s="26" t="s">
        <v>577</v>
      </c>
    </row>
    <row r="501" spans="1:6" x14ac:dyDescent="0.3">
      <c r="A501" s="32" t="s">
        <v>47</v>
      </c>
      <c r="B501" s="32" t="s">
        <v>240</v>
      </c>
      <c r="C501" s="28">
        <v>4.5</v>
      </c>
      <c r="D501">
        <f t="shared" si="8"/>
        <v>999999999</v>
      </c>
      <c r="E501">
        <v>66</v>
      </c>
      <c r="F501" s="26" t="s">
        <v>577</v>
      </c>
    </row>
    <row r="502" spans="1:6" x14ac:dyDescent="0.3">
      <c r="A502" s="32" t="s">
        <v>47</v>
      </c>
      <c r="B502" s="32" t="s">
        <v>242</v>
      </c>
      <c r="C502" s="28">
        <v>6.4</v>
      </c>
      <c r="D502">
        <f t="shared" si="8"/>
        <v>999999999</v>
      </c>
      <c r="E502">
        <v>66</v>
      </c>
      <c r="F502" s="26" t="s">
        <v>577</v>
      </c>
    </row>
    <row r="503" spans="1:6" x14ac:dyDescent="0.3">
      <c r="A503" s="30" t="s">
        <v>403</v>
      </c>
      <c r="B503" s="38" t="s">
        <v>491</v>
      </c>
      <c r="C503" s="31">
        <v>0.8</v>
      </c>
      <c r="D503">
        <f t="shared" si="8"/>
        <v>999999999</v>
      </c>
      <c r="E503">
        <v>67</v>
      </c>
      <c r="F503" s="29" t="s">
        <v>577</v>
      </c>
    </row>
    <row r="504" spans="1:6" x14ac:dyDescent="0.3">
      <c r="A504" s="30" t="s">
        <v>403</v>
      </c>
      <c r="B504" s="38" t="s">
        <v>491</v>
      </c>
      <c r="C504" s="31">
        <v>0.8</v>
      </c>
      <c r="D504">
        <f t="shared" si="8"/>
        <v>999999999</v>
      </c>
      <c r="E504">
        <v>67</v>
      </c>
      <c r="F504" s="29" t="s">
        <v>577</v>
      </c>
    </row>
    <row r="505" spans="1:6" x14ac:dyDescent="0.3">
      <c r="A505" s="30" t="s">
        <v>403</v>
      </c>
      <c r="B505" s="38" t="s">
        <v>491</v>
      </c>
      <c r="C505" s="31">
        <v>0.8</v>
      </c>
      <c r="D505">
        <f t="shared" si="8"/>
        <v>999999999</v>
      </c>
      <c r="E505">
        <v>67</v>
      </c>
      <c r="F505" s="29" t="s">
        <v>577</v>
      </c>
    </row>
    <row r="506" spans="1:6" x14ac:dyDescent="0.3">
      <c r="A506" s="30" t="s">
        <v>403</v>
      </c>
      <c r="B506" s="38" t="s">
        <v>494</v>
      </c>
      <c r="C506" s="31">
        <v>1</v>
      </c>
      <c r="D506">
        <f t="shared" si="8"/>
        <v>999999999</v>
      </c>
      <c r="E506">
        <v>67</v>
      </c>
      <c r="F506" s="29" t="s">
        <v>577</v>
      </c>
    </row>
    <row r="507" spans="1:6" x14ac:dyDescent="0.3">
      <c r="A507" s="30" t="s">
        <v>403</v>
      </c>
      <c r="B507" s="38" t="s">
        <v>494</v>
      </c>
      <c r="C507" s="31">
        <v>1</v>
      </c>
      <c r="D507">
        <f t="shared" si="8"/>
        <v>999999999</v>
      </c>
      <c r="E507">
        <v>67</v>
      </c>
      <c r="F507" s="29" t="s">
        <v>577</v>
      </c>
    </row>
    <row r="508" spans="1:6" x14ac:dyDescent="0.3">
      <c r="A508" s="30" t="s">
        <v>403</v>
      </c>
      <c r="B508" s="38" t="s">
        <v>494</v>
      </c>
      <c r="C508" s="31">
        <v>1</v>
      </c>
      <c r="D508">
        <f t="shared" si="8"/>
        <v>999999999</v>
      </c>
      <c r="E508">
        <v>67</v>
      </c>
      <c r="F508" s="29" t="s">
        <v>577</v>
      </c>
    </row>
    <row r="509" spans="1:6" x14ac:dyDescent="0.3">
      <c r="A509" s="30" t="s">
        <v>403</v>
      </c>
      <c r="B509" s="38" t="s">
        <v>492</v>
      </c>
      <c r="C509" s="31">
        <v>1.5</v>
      </c>
      <c r="D509">
        <f t="shared" si="8"/>
        <v>999999999</v>
      </c>
      <c r="E509">
        <v>67</v>
      </c>
      <c r="F509" s="29" t="s">
        <v>577</v>
      </c>
    </row>
    <row r="510" spans="1:6" x14ac:dyDescent="0.3">
      <c r="A510" s="30" t="s">
        <v>403</v>
      </c>
      <c r="B510" s="38" t="s">
        <v>492</v>
      </c>
      <c r="C510" s="31">
        <v>1.5</v>
      </c>
      <c r="D510">
        <f t="shared" si="8"/>
        <v>999999999</v>
      </c>
      <c r="E510">
        <v>67</v>
      </c>
      <c r="F510" s="29" t="s">
        <v>577</v>
      </c>
    </row>
    <row r="511" spans="1:6" x14ac:dyDescent="0.3">
      <c r="A511" s="30" t="s">
        <v>403</v>
      </c>
      <c r="B511" s="38" t="s">
        <v>492</v>
      </c>
      <c r="C511" s="31">
        <v>1.5</v>
      </c>
      <c r="D511">
        <f t="shared" si="8"/>
        <v>999999999</v>
      </c>
      <c r="E511">
        <v>67</v>
      </c>
      <c r="F511" s="29" t="s">
        <v>577</v>
      </c>
    </row>
    <row r="512" spans="1:6" x14ac:dyDescent="0.3">
      <c r="A512" s="30" t="s">
        <v>403</v>
      </c>
      <c r="B512" s="38" t="s">
        <v>493</v>
      </c>
      <c r="C512" s="31">
        <v>2.1</v>
      </c>
      <c r="D512">
        <f t="shared" si="8"/>
        <v>999999999</v>
      </c>
      <c r="E512">
        <v>67</v>
      </c>
      <c r="F512" s="29" t="s">
        <v>577</v>
      </c>
    </row>
    <row r="513" spans="1:6" x14ac:dyDescent="0.3">
      <c r="A513" s="30" t="s">
        <v>403</v>
      </c>
      <c r="B513" s="38" t="s">
        <v>495</v>
      </c>
      <c r="C513" s="31">
        <v>2.1</v>
      </c>
      <c r="D513">
        <f t="shared" si="8"/>
        <v>999999999</v>
      </c>
      <c r="E513">
        <v>67</v>
      </c>
      <c r="F513" s="29" t="s">
        <v>577</v>
      </c>
    </row>
    <row r="514" spans="1:6" x14ac:dyDescent="0.3">
      <c r="A514" s="30" t="s">
        <v>403</v>
      </c>
      <c r="B514" s="38" t="s">
        <v>493</v>
      </c>
      <c r="C514" s="31">
        <v>2.1</v>
      </c>
      <c r="D514">
        <f t="shared" si="8"/>
        <v>999999999</v>
      </c>
      <c r="E514">
        <v>67</v>
      </c>
      <c r="F514" s="29" t="s">
        <v>577</v>
      </c>
    </row>
    <row r="515" spans="1:6" x14ac:dyDescent="0.3">
      <c r="A515" s="30" t="s">
        <v>403</v>
      </c>
      <c r="B515" s="38" t="s">
        <v>495</v>
      </c>
      <c r="C515" s="31">
        <v>2.1</v>
      </c>
      <c r="D515">
        <f t="shared" si="8"/>
        <v>999999999</v>
      </c>
      <c r="E515">
        <v>67</v>
      </c>
      <c r="F515" s="29" t="s">
        <v>577</v>
      </c>
    </row>
    <row r="516" spans="1:6" x14ac:dyDescent="0.3">
      <c r="A516" s="30" t="s">
        <v>403</v>
      </c>
      <c r="B516" s="38" t="s">
        <v>493</v>
      </c>
      <c r="C516" s="31">
        <v>2.1</v>
      </c>
      <c r="D516">
        <f t="shared" si="8"/>
        <v>999999999</v>
      </c>
      <c r="E516">
        <v>67</v>
      </c>
      <c r="F516" s="29" t="s">
        <v>577</v>
      </c>
    </row>
    <row r="517" spans="1:6" x14ac:dyDescent="0.3">
      <c r="A517" s="30" t="s">
        <v>403</v>
      </c>
      <c r="B517" s="38" t="s">
        <v>495</v>
      </c>
      <c r="C517" s="31">
        <v>2.1</v>
      </c>
      <c r="D517">
        <f t="shared" si="8"/>
        <v>999999999</v>
      </c>
      <c r="E517">
        <v>67</v>
      </c>
      <c r="F517" s="29" t="s">
        <v>577</v>
      </c>
    </row>
    <row r="518" spans="1:6" x14ac:dyDescent="0.3">
      <c r="A518" s="30" t="s">
        <v>403</v>
      </c>
      <c r="B518" s="38" t="s">
        <v>497</v>
      </c>
      <c r="C518" s="31">
        <v>3.8</v>
      </c>
      <c r="D518">
        <f t="shared" si="8"/>
        <v>999999999</v>
      </c>
      <c r="E518">
        <v>67</v>
      </c>
      <c r="F518" s="29" t="s">
        <v>577</v>
      </c>
    </row>
    <row r="519" spans="1:6" x14ac:dyDescent="0.3">
      <c r="A519" s="30" t="s">
        <v>403</v>
      </c>
      <c r="B519" s="38" t="s">
        <v>490</v>
      </c>
      <c r="C519" s="31">
        <v>5</v>
      </c>
      <c r="D519">
        <f t="shared" si="8"/>
        <v>999999999</v>
      </c>
      <c r="E519">
        <v>67</v>
      </c>
      <c r="F519" s="29" t="s">
        <v>577</v>
      </c>
    </row>
    <row r="520" spans="1:6" x14ac:dyDescent="0.3">
      <c r="A520" s="30" t="s">
        <v>403</v>
      </c>
      <c r="B520" s="38" t="s">
        <v>490</v>
      </c>
      <c r="C520" s="31">
        <v>5</v>
      </c>
      <c r="D520">
        <f t="shared" si="8"/>
        <v>999999999</v>
      </c>
      <c r="E520">
        <v>67</v>
      </c>
      <c r="F520" s="29" t="s">
        <v>577</v>
      </c>
    </row>
    <row r="521" spans="1:6" x14ac:dyDescent="0.3">
      <c r="A521" s="30" t="s">
        <v>403</v>
      </c>
      <c r="B521" s="38" t="s">
        <v>490</v>
      </c>
      <c r="C521" s="31">
        <v>5</v>
      </c>
      <c r="D521">
        <f t="shared" ref="D521:D584" si="9">IF(F521="Sabit",999999999,1000000)</f>
        <v>999999999</v>
      </c>
      <c r="E521">
        <v>67</v>
      </c>
      <c r="F521" s="29" t="s">
        <v>577</v>
      </c>
    </row>
    <row r="522" spans="1:6" x14ac:dyDescent="0.3">
      <c r="A522" s="30" t="s">
        <v>403</v>
      </c>
      <c r="B522" s="38" t="s">
        <v>496</v>
      </c>
      <c r="C522" s="31">
        <v>5.0999999999999996</v>
      </c>
      <c r="D522">
        <f t="shared" si="9"/>
        <v>999999999</v>
      </c>
      <c r="E522">
        <v>67</v>
      </c>
      <c r="F522" s="29" t="s">
        <v>577</v>
      </c>
    </row>
    <row r="523" spans="1:6" x14ac:dyDescent="0.3">
      <c r="A523" s="32" t="s">
        <v>48</v>
      </c>
      <c r="B523" s="32" t="s">
        <v>304</v>
      </c>
      <c r="C523" s="28">
        <v>2.6</v>
      </c>
      <c r="D523">
        <f t="shared" si="9"/>
        <v>1000000</v>
      </c>
      <c r="E523">
        <v>68</v>
      </c>
      <c r="F523" s="26"/>
    </row>
    <row r="524" spans="1:6" x14ac:dyDescent="0.3">
      <c r="A524" s="32" t="s">
        <v>48</v>
      </c>
      <c r="B524" s="32" t="s">
        <v>305</v>
      </c>
      <c r="C524" s="28">
        <v>2.6</v>
      </c>
      <c r="D524">
        <f t="shared" si="9"/>
        <v>1000000</v>
      </c>
      <c r="E524">
        <v>68</v>
      </c>
      <c r="F524" s="26"/>
    </row>
    <row r="525" spans="1:6" x14ac:dyDescent="0.3">
      <c r="A525" s="32" t="s">
        <v>48</v>
      </c>
      <c r="B525" s="32" t="s">
        <v>304</v>
      </c>
      <c r="C525" s="28">
        <v>2.6</v>
      </c>
      <c r="D525">
        <f t="shared" si="9"/>
        <v>1000000</v>
      </c>
      <c r="E525">
        <v>68</v>
      </c>
      <c r="F525" s="26"/>
    </row>
    <row r="526" spans="1:6" x14ac:dyDescent="0.3">
      <c r="A526" s="32" t="s">
        <v>48</v>
      </c>
      <c r="B526" s="32" t="s">
        <v>305</v>
      </c>
      <c r="C526" s="28">
        <v>2.6</v>
      </c>
      <c r="D526">
        <f t="shared" si="9"/>
        <v>1000000</v>
      </c>
      <c r="E526">
        <v>68</v>
      </c>
      <c r="F526" s="26"/>
    </row>
    <row r="527" spans="1:6" x14ac:dyDescent="0.3">
      <c r="A527" s="32" t="s">
        <v>48</v>
      </c>
      <c r="B527" s="32" t="s">
        <v>306</v>
      </c>
      <c r="C527" s="28">
        <v>3.8</v>
      </c>
      <c r="D527">
        <f t="shared" si="9"/>
        <v>1000000</v>
      </c>
      <c r="E527">
        <v>68</v>
      </c>
      <c r="F527" s="26"/>
    </row>
    <row r="528" spans="1:6" x14ac:dyDescent="0.3">
      <c r="A528" s="32" t="s">
        <v>48</v>
      </c>
      <c r="B528" s="32" t="s">
        <v>306</v>
      </c>
      <c r="C528" s="28">
        <v>3.8</v>
      </c>
      <c r="D528">
        <f t="shared" si="9"/>
        <v>1000000</v>
      </c>
      <c r="E528">
        <v>68</v>
      </c>
      <c r="F528" s="26"/>
    </row>
    <row r="529" spans="1:6" x14ac:dyDescent="0.3">
      <c r="A529" s="32" t="s">
        <v>48</v>
      </c>
      <c r="B529" s="32" t="s">
        <v>306</v>
      </c>
      <c r="C529" s="28">
        <v>3.8</v>
      </c>
      <c r="D529">
        <f t="shared" si="9"/>
        <v>1000000</v>
      </c>
      <c r="E529">
        <v>68</v>
      </c>
      <c r="F529" s="26"/>
    </row>
    <row r="530" spans="1:6" x14ac:dyDescent="0.3">
      <c r="A530" s="32" t="s">
        <v>48</v>
      </c>
      <c r="B530" s="32" t="s">
        <v>306</v>
      </c>
      <c r="C530" s="28">
        <v>3.8</v>
      </c>
      <c r="D530">
        <f t="shared" si="9"/>
        <v>1000000</v>
      </c>
      <c r="E530">
        <v>68</v>
      </c>
      <c r="F530" s="26"/>
    </row>
    <row r="531" spans="1:6" x14ac:dyDescent="0.3">
      <c r="A531" s="32" t="s">
        <v>48</v>
      </c>
      <c r="B531" s="32" t="s">
        <v>307</v>
      </c>
      <c r="C531" s="28">
        <v>4</v>
      </c>
      <c r="D531">
        <f t="shared" si="9"/>
        <v>1000000</v>
      </c>
      <c r="E531">
        <v>68</v>
      </c>
      <c r="F531" s="26"/>
    </row>
    <row r="532" spans="1:6" x14ac:dyDescent="0.3">
      <c r="A532" s="32" t="s">
        <v>48</v>
      </c>
      <c r="B532" s="32" t="s">
        <v>308</v>
      </c>
      <c r="C532" s="28">
        <v>4</v>
      </c>
      <c r="D532">
        <f t="shared" si="9"/>
        <v>1000000</v>
      </c>
      <c r="E532">
        <v>68</v>
      </c>
      <c r="F532" s="26"/>
    </row>
    <row r="533" spans="1:6" x14ac:dyDescent="0.3">
      <c r="A533" s="32" t="s">
        <v>48</v>
      </c>
      <c r="B533" s="32" t="s">
        <v>404</v>
      </c>
      <c r="C533" s="28">
        <v>4</v>
      </c>
      <c r="D533">
        <f t="shared" si="9"/>
        <v>1000000</v>
      </c>
      <c r="E533">
        <v>68</v>
      </c>
      <c r="F533" s="26"/>
    </row>
    <row r="534" spans="1:6" x14ac:dyDescent="0.3">
      <c r="A534" s="32" t="s">
        <v>48</v>
      </c>
      <c r="B534" s="32" t="s">
        <v>307</v>
      </c>
      <c r="C534" s="28">
        <v>4</v>
      </c>
      <c r="D534">
        <f t="shared" si="9"/>
        <v>1000000</v>
      </c>
      <c r="E534">
        <v>68</v>
      </c>
      <c r="F534" s="26"/>
    </row>
    <row r="535" spans="1:6" x14ac:dyDescent="0.3">
      <c r="A535" s="32" t="s">
        <v>48</v>
      </c>
      <c r="B535" s="32" t="s">
        <v>308</v>
      </c>
      <c r="C535" s="28">
        <v>4</v>
      </c>
      <c r="D535">
        <f t="shared" si="9"/>
        <v>1000000</v>
      </c>
      <c r="E535">
        <v>68</v>
      </c>
      <c r="F535" s="26"/>
    </row>
    <row r="536" spans="1:6" x14ac:dyDescent="0.3">
      <c r="A536" s="32" t="s">
        <v>48</v>
      </c>
      <c r="B536" s="32" t="s">
        <v>307</v>
      </c>
      <c r="C536" s="28">
        <v>4</v>
      </c>
      <c r="D536">
        <f t="shared" si="9"/>
        <v>1000000</v>
      </c>
      <c r="E536">
        <v>68</v>
      </c>
      <c r="F536" s="26"/>
    </row>
    <row r="537" spans="1:6" x14ac:dyDescent="0.3">
      <c r="A537" s="32" t="s">
        <v>48</v>
      </c>
      <c r="B537" s="32" t="s">
        <v>308</v>
      </c>
      <c r="C537" s="28">
        <v>4</v>
      </c>
      <c r="D537">
        <f t="shared" si="9"/>
        <v>1000000</v>
      </c>
      <c r="E537">
        <v>68</v>
      </c>
      <c r="F537" s="26"/>
    </row>
    <row r="538" spans="1:6" x14ac:dyDescent="0.3">
      <c r="A538" s="32" t="s">
        <v>48</v>
      </c>
      <c r="B538" s="32" t="s">
        <v>404</v>
      </c>
      <c r="C538" s="28">
        <v>4</v>
      </c>
      <c r="D538">
        <f t="shared" si="9"/>
        <v>1000000</v>
      </c>
      <c r="E538">
        <v>68</v>
      </c>
      <c r="F538" s="26"/>
    </row>
    <row r="539" spans="1:6" x14ac:dyDescent="0.3">
      <c r="A539" s="32" t="s">
        <v>48</v>
      </c>
      <c r="B539" s="32" t="s">
        <v>307</v>
      </c>
      <c r="C539" s="28">
        <v>4</v>
      </c>
      <c r="D539">
        <f t="shared" si="9"/>
        <v>1000000</v>
      </c>
      <c r="E539">
        <v>68</v>
      </c>
      <c r="F539" s="26"/>
    </row>
    <row r="540" spans="1:6" x14ac:dyDescent="0.3">
      <c r="A540" s="32" t="s">
        <v>48</v>
      </c>
      <c r="B540" s="32" t="s">
        <v>308</v>
      </c>
      <c r="C540" s="28">
        <v>4</v>
      </c>
      <c r="D540">
        <f t="shared" si="9"/>
        <v>1000000</v>
      </c>
      <c r="E540">
        <v>68</v>
      </c>
      <c r="F540" s="26"/>
    </row>
    <row r="541" spans="1:6" x14ac:dyDescent="0.3">
      <c r="A541" s="32" t="s">
        <v>48</v>
      </c>
      <c r="B541" s="32" t="s">
        <v>309</v>
      </c>
      <c r="C541" s="28">
        <v>4</v>
      </c>
      <c r="D541">
        <f t="shared" si="9"/>
        <v>1000000</v>
      </c>
      <c r="E541">
        <v>68</v>
      </c>
      <c r="F541" s="26"/>
    </row>
    <row r="542" spans="1:6" x14ac:dyDescent="0.3">
      <c r="A542" s="32" t="s">
        <v>48</v>
      </c>
      <c r="B542" s="32" t="s">
        <v>406</v>
      </c>
      <c r="C542" s="28">
        <v>5.0999999999999996</v>
      </c>
      <c r="D542">
        <f t="shared" si="9"/>
        <v>1000000</v>
      </c>
      <c r="E542">
        <v>68</v>
      </c>
      <c r="F542" s="26"/>
    </row>
    <row r="543" spans="1:6" x14ac:dyDescent="0.3">
      <c r="A543" s="32" t="s">
        <v>48</v>
      </c>
      <c r="B543" s="32" t="s">
        <v>405</v>
      </c>
      <c r="C543" s="28">
        <v>6.4</v>
      </c>
      <c r="D543">
        <f t="shared" si="9"/>
        <v>1000000</v>
      </c>
      <c r="E543">
        <v>68</v>
      </c>
      <c r="F543" s="26"/>
    </row>
    <row r="544" spans="1:6" x14ac:dyDescent="0.3">
      <c r="A544" s="32" t="s">
        <v>49</v>
      </c>
      <c r="B544" s="32" t="s">
        <v>246</v>
      </c>
      <c r="C544" s="28">
        <v>0.5</v>
      </c>
      <c r="D544">
        <f t="shared" si="9"/>
        <v>1000000</v>
      </c>
      <c r="E544">
        <v>69</v>
      </c>
      <c r="F544" s="26"/>
    </row>
    <row r="545" spans="1:6" x14ac:dyDescent="0.3">
      <c r="A545" s="32" t="s">
        <v>49</v>
      </c>
      <c r="B545" s="32" t="s">
        <v>244</v>
      </c>
      <c r="C545" s="28">
        <v>2.9</v>
      </c>
      <c r="D545">
        <f t="shared" si="9"/>
        <v>1000000</v>
      </c>
      <c r="E545">
        <v>69</v>
      </c>
      <c r="F545" s="26"/>
    </row>
    <row r="546" spans="1:6" x14ac:dyDescent="0.3">
      <c r="A546" s="32" t="s">
        <v>49</v>
      </c>
      <c r="B546" s="32" t="s">
        <v>244</v>
      </c>
      <c r="C546" s="28">
        <v>2.9</v>
      </c>
      <c r="D546">
        <f t="shared" si="9"/>
        <v>1000000</v>
      </c>
      <c r="E546">
        <v>69</v>
      </c>
      <c r="F546" s="26"/>
    </row>
    <row r="547" spans="1:6" x14ac:dyDescent="0.3">
      <c r="A547" s="32" t="s">
        <v>49</v>
      </c>
      <c r="B547" s="32" t="s">
        <v>244</v>
      </c>
      <c r="C547" s="28">
        <v>2.9</v>
      </c>
      <c r="D547">
        <f t="shared" si="9"/>
        <v>1000000</v>
      </c>
      <c r="E547">
        <v>69</v>
      </c>
      <c r="F547" s="26"/>
    </row>
    <row r="548" spans="1:6" x14ac:dyDescent="0.3">
      <c r="A548" s="32" t="s">
        <v>49</v>
      </c>
      <c r="B548" s="32" t="s">
        <v>243</v>
      </c>
      <c r="C548" s="28">
        <v>3.1</v>
      </c>
      <c r="D548">
        <f t="shared" si="9"/>
        <v>1000000</v>
      </c>
      <c r="E548">
        <v>69</v>
      </c>
      <c r="F548" s="26"/>
    </row>
    <row r="549" spans="1:6" x14ac:dyDescent="0.3">
      <c r="A549" s="32" t="s">
        <v>49</v>
      </c>
      <c r="B549" s="32" t="s">
        <v>243</v>
      </c>
      <c r="C549" s="28">
        <v>3.1</v>
      </c>
      <c r="D549">
        <f t="shared" si="9"/>
        <v>1000000</v>
      </c>
      <c r="E549">
        <v>69</v>
      </c>
      <c r="F549" s="26"/>
    </row>
    <row r="550" spans="1:6" x14ac:dyDescent="0.3">
      <c r="A550" s="32" t="s">
        <v>49</v>
      </c>
      <c r="B550" s="32" t="s">
        <v>408</v>
      </c>
      <c r="C550" s="28">
        <v>3.1</v>
      </c>
      <c r="D550">
        <f t="shared" si="9"/>
        <v>1000000</v>
      </c>
      <c r="E550">
        <v>69</v>
      </c>
      <c r="F550" s="26"/>
    </row>
    <row r="551" spans="1:6" x14ac:dyDescent="0.3">
      <c r="A551" s="32" t="s">
        <v>49</v>
      </c>
      <c r="B551" s="32" t="s">
        <v>409</v>
      </c>
      <c r="C551" s="28">
        <v>3.1</v>
      </c>
      <c r="D551">
        <f t="shared" si="9"/>
        <v>1000000</v>
      </c>
      <c r="E551">
        <v>69</v>
      </c>
      <c r="F551" s="26"/>
    </row>
    <row r="552" spans="1:6" x14ac:dyDescent="0.3">
      <c r="A552" s="32" t="s">
        <v>49</v>
      </c>
      <c r="B552" s="32" t="s">
        <v>407</v>
      </c>
      <c r="C552" s="28">
        <v>6.1</v>
      </c>
      <c r="D552">
        <f t="shared" si="9"/>
        <v>1000000</v>
      </c>
      <c r="E552">
        <v>69</v>
      </c>
      <c r="F552" s="26"/>
    </row>
    <row r="553" spans="1:6" x14ac:dyDescent="0.3">
      <c r="A553" s="32" t="s">
        <v>49</v>
      </c>
      <c r="B553" s="32" t="s">
        <v>245</v>
      </c>
      <c r="C553" s="28">
        <v>6.1</v>
      </c>
      <c r="D553">
        <f t="shared" si="9"/>
        <v>1000000</v>
      </c>
      <c r="E553">
        <v>69</v>
      </c>
      <c r="F553" s="26"/>
    </row>
    <row r="554" spans="1:6" x14ac:dyDescent="0.3">
      <c r="A554" s="32" t="s">
        <v>49</v>
      </c>
      <c r="B554" s="32" t="s">
        <v>245</v>
      </c>
      <c r="C554" s="28">
        <v>7.2</v>
      </c>
      <c r="D554">
        <f t="shared" si="9"/>
        <v>1000000</v>
      </c>
      <c r="E554">
        <v>69</v>
      </c>
      <c r="F554" s="26"/>
    </row>
    <row r="555" spans="1:6" x14ac:dyDescent="0.3">
      <c r="A555" s="32" t="s">
        <v>50</v>
      </c>
      <c r="B555" s="32" t="s">
        <v>250</v>
      </c>
      <c r="C555" s="28">
        <v>1</v>
      </c>
      <c r="D555">
        <f t="shared" si="9"/>
        <v>1000000</v>
      </c>
      <c r="E555">
        <v>70</v>
      </c>
      <c r="F555" s="26"/>
    </row>
    <row r="556" spans="1:6" x14ac:dyDescent="0.3">
      <c r="A556" s="32" t="s">
        <v>50</v>
      </c>
      <c r="B556" s="32" t="s">
        <v>250</v>
      </c>
      <c r="C556" s="28">
        <v>1</v>
      </c>
      <c r="D556">
        <f t="shared" si="9"/>
        <v>1000000</v>
      </c>
      <c r="E556">
        <v>70</v>
      </c>
      <c r="F556" s="26"/>
    </row>
    <row r="557" spans="1:6" x14ac:dyDescent="0.3">
      <c r="A557" s="32" t="s">
        <v>50</v>
      </c>
      <c r="B557" s="32" t="s">
        <v>410</v>
      </c>
      <c r="C557" s="28">
        <v>3.1</v>
      </c>
      <c r="D557">
        <f t="shared" si="9"/>
        <v>1000000</v>
      </c>
      <c r="E557">
        <v>70</v>
      </c>
      <c r="F557" s="26"/>
    </row>
    <row r="558" spans="1:6" x14ac:dyDescent="0.3">
      <c r="A558" s="32" t="s">
        <v>50</v>
      </c>
      <c r="B558" s="32" t="s">
        <v>410</v>
      </c>
      <c r="C558" s="28">
        <v>3.1</v>
      </c>
      <c r="D558">
        <f t="shared" si="9"/>
        <v>1000000</v>
      </c>
      <c r="E558">
        <v>70</v>
      </c>
      <c r="F558" s="26"/>
    </row>
    <row r="559" spans="1:6" x14ac:dyDescent="0.3">
      <c r="A559" s="32" t="s">
        <v>50</v>
      </c>
      <c r="B559" s="32" t="s">
        <v>412</v>
      </c>
      <c r="C559" s="28">
        <v>3.1</v>
      </c>
      <c r="D559">
        <f t="shared" si="9"/>
        <v>1000000</v>
      </c>
      <c r="E559">
        <v>70</v>
      </c>
      <c r="F559" s="26"/>
    </row>
    <row r="560" spans="1:6" x14ac:dyDescent="0.3">
      <c r="A560" s="32" t="s">
        <v>50</v>
      </c>
      <c r="B560" s="32" t="s">
        <v>411</v>
      </c>
      <c r="C560" s="28">
        <v>3.6</v>
      </c>
      <c r="D560">
        <f t="shared" si="9"/>
        <v>1000000</v>
      </c>
      <c r="E560">
        <v>70</v>
      </c>
      <c r="F560" s="26"/>
    </row>
    <row r="561" spans="1:6" x14ac:dyDescent="0.3">
      <c r="A561" s="32" t="s">
        <v>50</v>
      </c>
      <c r="B561" s="32" t="s">
        <v>247</v>
      </c>
      <c r="C561" s="28">
        <v>3.7</v>
      </c>
      <c r="D561">
        <f t="shared" si="9"/>
        <v>1000000</v>
      </c>
      <c r="E561">
        <v>70</v>
      </c>
      <c r="F561" s="26"/>
    </row>
    <row r="562" spans="1:6" x14ac:dyDescent="0.3">
      <c r="A562" s="32" t="s">
        <v>50</v>
      </c>
      <c r="B562" s="32" t="s">
        <v>248</v>
      </c>
      <c r="C562" s="28">
        <v>3.8</v>
      </c>
      <c r="D562">
        <f t="shared" si="9"/>
        <v>1000000</v>
      </c>
      <c r="E562">
        <v>70</v>
      </c>
      <c r="F562" s="26"/>
    </row>
    <row r="563" spans="1:6" x14ac:dyDescent="0.3">
      <c r="A563" s="32" t="s">
        <v>50</v>
      </c>
      <c r="B563" s="32" t="s">
        <v>249</v>
      </c>
      <c r="C563" s="28">
        <v>6.1</v>
      </c>
      <c r="D563">
        <f t="shared" si="9"/>
        <v>1000000</v>
      </c>
      <c r="E563">
        <v>70</v>
      </c>
      <c r="F563" s="26"/>
    </row>
    <row r="564" spans="1:6" x14ac:dyDescent="0.3">
      <c r="A564" s="32" t="s">
        <v>50</v>
      </c>
      <c r="B564" s="32" t="s">
        <v>249</v>
      </c>
      <c r="C564" s="28">
        <v>6.1</v>
      </c>
      <c r="D564">
        <f t="shared" si="9"/>
        <v>1000000</v>
      </c>
      <c r="E564">
        <v>70</v>
      </c>
      <c r="F564" s="26"/>
    </row>
    <row r="565" spans="1:6" x14ac:dyDescent="0.3">
      <c r="A565" s="32" t="s">
        <v>50</v>
      </c>
      <c r="B565" s="32" t="s">
        <v>249</v>
      </c>
      <c r="C565" s="28">
        <v>6.1</v>
      </c>
      <c r="D565">
        <f t="shared" si="9"/>
        <v>1000000</v>
      </c>
      <c r="E565">
        <v>70</v>
      </c>
      <c r="F565" s="26"/>
    </row>
    <row r="566" spans="1:6" x14ac:dyDescent="0.3">
      <c r="A566" s="32" t="s">
        <v>50</v>
      </c>
      <c r="B566" s="32" t="s">
        <v>250</v>
      </c>
      <c r="C566" s="28">
        <v>1</v>
      </c>
      <c r="D566">
        <f t="shared" si="9"/>
        <v>1000000</v>
      </c>
      <c r="E566">
        <v>71</v>
      </c>
      <c r="F566" s="26"/>
    </row>
    <row r="567" spans="1:6" x14ac:dyDescent="0.3">
      <c r="A567" s="32" t="s">
        <v>51</v>
      </c>
      <c r="B567" s="32" t="s">
        <v>252</v>
      </c>
      <c r="C567" s="28">
        <v>3.1</v>
      </c>
      <c r="D567">
        <f t="shared" si="9"/>
        <v>999999999</v>
      </c>
      <c r="E567">
        <v>71</v>
      </c>
      <c r="F567" s="26" t="s">
        <v>577</v>
      </c>
    </row>
    <row r="568" spans="1:6" x14ac:dyDescent="0.3">
      <c r="A568" s="32" t="s">
        <v>51</v>
      </c>
      <c r="B568" s="32" t="s">
        <v>252</v>
      </c>
      <c r="C568" s="28">
        <v>3.1</v>
      </c>
      <c r="D568">
        <f t="shared" si="9"/>
        <v>999999999</v>
      </c>
      <c r="E568">
        <v>71</v>
      </c>
      <c r="F568" s="26" t="s">
        <v>577</v>
      </c>
    </row>
    <row r="569" spans="1:6" x14ac:dyDescent="0.3">
      <c r="A569" s="32" t="s">
        <v>51</v>
      </c>
      <c r="B569" s="32" t="s">
        <v>253</v>
      </c>
      <c r="C569" s="28">
        <v>4.2</v>
      </c>
      <c r="D569">
        <f t="shared" si="9"/>
        <v>999999999</v>
      </c>
      <c r="E569">
        <v>71</v>
      </c>
      <c r="F569" s="26" t="s">
        <v>577</v>
      </c>
    </row>
    <row r="570" spans="1:6" x14ac:dyDescent="0.3">
      <c r="A570" s="32" t="s">
        <v>51</v>
      </c>
      <c r="B570" s="32" t="s">
        <v>253</v>
      </c>
      <c r="C570" s="28">
        <v>4.2</v>
      </c>
      <c r="D570">
        <f t="shared" si="9"/>
        <v>999999999</v>
      </c>
      <c r="E570">
        <v>71</v>
      </c>
      <c r="F570" s="26" t="s">
        <v>577</v>
      </c>
    </row>
    <row r="571" spans="1:6" x14ac:dyDescent="0.3">
      <c r="A571" s="32" t="s">
        <v>51</v>
      </c>
      <c r="B571" s="32" t="s">
        <v>414</v>
      </c>
      <c r="C571" s="28">
        <v>6.5</v>
      </c>
      <c r="D571">
        <f t="shared" si="9"/>
        <v>999999999</v>
      </c>
      <c r="E571">
        <v>71</v>
      </c>
      <c r="F571" s="26" t="s">
        <v>577</v>
      </c>
    </row>
    <row r="572" spans="1:6" x14ac:dyDescent="0.3">
      <c r="A572" s="32" t="s">
        <v>51</v>
      </c>
      <c r="B572" s="32" t="s">
        <v>251</v>
      </c>
      <c r="C572" s="28">
        <v>6.9</v>
      </c>
      <c r="D572">
        <f t="shared" si="9"/>
        <v>999999999</v>
      </c>
      <c r="E572">
        <v>71</v>
      </c>
      <c r="F572" s="26" t="s">
        <v>577</v>
      </c>
    </row>
    <row r="573" spans="1:6" x14ac:dyDescent="0.3">
      <c r="A573" s="32" t="s">
        <v>51</v>
      </c>
      <c r="B573" s="32" t="s">
        <v>413</v>
      </c>
      <c r="C573" s="28">
        <v>9.3000000000000007</v>
      </c>
      <c r="D573">
        <f t="shared" si="9"/>
        <v>999999999</v>
      </c>
      <c r="E573">
        <v>71</v>
      </c>
      <c r="F573" s="26" t="s">
        <v>577</v>
      </c>
    </row>
    <row r="574" spans="1:6" x14ac:dyDescent="0.3">
      <c r="A574" s="32" t="s">
        <v>51</v>
      </c>
      <c r="B574" s="32" t="s">
        <v>413</v>
      </c>
      <c r="C574" s="28">
        <v>9.3000000000000007</v>
      </c>
      <c r="D574">
        <f t="shared" si="9"/>
        <v>999999999</v>
      </c>
      <c r="E574">
        <v>71</v>
      </c>
      <c r="F574" s="26" t="s">
        <v>577</v>
      </c>
    </row>
    <row r="575" spans="1:6" x14ac:dyDescent="0.3">
      <c r="A575" s="32" t="s">
        <v>52</v>
      </c>
      <c r="B575" s="32" t="s">
        <v>255</v>
      </c>
      <c r="C575" s="28">
        <v>1.8</v>
      </c>
      <c r="D575">
        <f t="shared" si="9"/>
        <v>999999999</v>
      </c>
      <c r="E575">
        <v>72</v>
      </c>
      <c r="F575" s="26" t="s">
        <v>577</v>
      </c>
    </row>
    <row r="576" spans="1:6" x14ac:dyDescent="0.3">
      <c r="A576" s="32" t="s">
        <v>52</v>
      </c>
      <c r="B576" s="32" t="s">
        <v>256</v>
      </c>
      <c r="C576" s="28">
        <v>2.5</v>
      </c>
      <c r="D576">
        <f t="shared" si="9"/>
        <v>999999999</v>
      </c>
      <c r="E576">
        <v>72</v>
      </c>
      <c r="F576" s="26" t="s">
        <v>577</v>
      </c>
    </row>
    <row r="577" spans="1:6" x14ac:dyDescent="0.3">
      <c r="A577" s="32" t="s">
        <v>52</v>
      </c>
      <c r="B577" s="32" t="s">
        <v>254</v>
      </c>
      <c r="C577" s="28">
        <v>5.5</v>
      </c>
      <c r="D577">
        <f t="shared" si="9"/>
        <v>999999999</v>
      </c>
      <c r="E577">
        <v>72</v>
      </c>
      <c r="F577" s="26" t="s">
        <v>577</v>
      </c>
    </row>
    <row r="578" spans="1:6" x14ac:dyDescent="0.3">
      <c r="A578" s="32" t="s">
        <v>52</v>
      </c>
      <c r="B578" s="32" t="s">
        <v>254</v>
      </c>
      <c r="C578" s="28">
        <v>5.5</v>
      </c>
      <c r="D578">
        <f t="shared" si="9"/>
        <v>999999999</v>
      </c>
      <c r="E578">
        <v>72</v>
      </c>
      <c r="F578" s="26" t="s">
        <v>577</v>
      </c>
    </row>
    <row r="579" spans="1:6" x14ac:dyDescent="0.3">
      <c r="A579" s="32" t="s">
        <v>415</v>
      </c>
      <c r="B579" s="32" t="s">
        <v>417</v>
      </c>
      <c r="C579" s="28">
        <v>2.8</v>
      </c>
      <c r="D579">
        <f t="shared" si="9"/>
        <v>999999999</v>
      </c>
      <c r="E579">
        <v>73</v>
      </c>
      <c r="F579" s="26" t="s">
        <v>577</v>
      </c>
    </row>
    <row r="580" spans="1:6" x14ac:dyDescent="0.3">
      <c r="A580" s="32" t="s">
        <v>415</v>
      </c>
      <c r="B580" s="32" t="s">
        <v>416</v>
      </c>
      <c r="C580" s="28">
        <v>13.8</v>
      </c>
      <c r="D580">
        <f t="shared" si="9"/>
        <v>999999999</v>
      </c>
      <c r="E580">
        <v>73</v>
      </c>
      <c r="F580" s="26" t="s">
        <v>577</v>
      </c>
    </row>
    <row r="581" spans="1:6" x14ac:dyDescent="0.3">
      <c r="A581" s="32" t="s">
        <v>53</v>
      </c>
      <c r="B581" s="32" t="s">
        <v>257</v>
      </c>
      <c r="C581" s="28">
        <v>0.5</v>
      </c>
      <c r="D581">
        <f t="shared" si="9"/>
        <v>999999999</v>
      </c>
      <c r="E581">
        <v>74</v>
      </c>
      <c r="F581" s="26" t="s">
        <v>577</v>
      </c>
    </row>
    <row r="582" spans="1:6" x14ac:dyDescent="0.3">
      <c r="A582" s="32" t="s">
        <v>53</v>
      </c>
      <c r="B582" s="32" t="s">
        <v>261</v>
      </c>
      <c r="C582" s="28">
        <v>0.5</v>
      </c>
      <c r="D582">
        <f t="shared" si="9"/>
        <v>999999999</v>
      </c>
      <c r="E582">
        <v>74</v>
      </c>
      <c r="F582" s="26" t="s">
        <v>577</v>
      </c>
    </row>
    <row r="583" spans="1:6" x14ac:dyDescent="0.3">
      <c r="A583" s="32" t="s">
        <v>53</v>
      </c>
      <c r="B583" s="32" t="s">
        <v>264</v>
      </c>
      <c r="C583" s="28">
        <v>0.5</v>
      </c>
      <c r="D583">
        <f t="shared" si="9"/>
        <v>999999999</v>
      </c>
      <c r="E583">
        <v>74</v>
      </c>
      <c r="F583" s="26" t="s">
        <v>577</v>
      </c>
    </row>
    <row r="584" spans="1:6" x14ac:dyDescent="0.3">
      <c r="A584" s="32" t="s">
        <v>53</v>
      </c>
      <c r="B584" s="32" t="s">
        <v>258</v>
      </c>
      <c r="C584" s="28">
        <v>2.8</v>
      </c>
      <c r="D584">
        <f t="shared" si="9"/>
        <v>999999999</v>
      </c>
      <c r="E584">
        <v>74</v>
      </c>
      <c r="F584" s="26" t="s">
        <v>577</v>
      </c>
    </row>
    <row r="585" spans="1:6" x14ac:dyDescent="0.3">
      <c r="A585" s="32" t="s">
        <v>53</v>
      </c>
      <c r="B585" s="32" t="s">
        <v>262</v>
      </c>
      <c r="C585" s="28">
        <v>3.1</v>
      </c>
      <c r="D585">
        <f t="shared" ref="D585:D648" si="10">IF(F585="Sabit",999999999,1000000)</f>
        <v>999999999</v>
      </c>
      <c r="E585">
        <v>74</v>
      </c>
      <c r="F585" s="26" t="s">
        <v>577</v>
      </c>
    </row>
    <row r="586" spans="1:6" x14ac:dyDescent="0.3">
      <c r="A586" s="32" t="s">
        <v>53</v>
      </c>
      <c r="B586" s="32" t="s">
        <v>263</v>
      </c>
      <c r="C586" s="28">
        <v>3.1</v>
      </c>
      <c r="D586">
        <f t="shared" si="10"/>
        <v>999999999</v>
      </c>
      <c r="E586">
        <v>74</v>
      </c>
      <c r="F586" s="26" t="s">
        <v>577</v>
      </c>
    </row>
    <row r="587" spans="1:6" x14ac:dyDescent="0.3">
      <c r="A587" s="32" t="s">
        <v>53</v>
      </c>
      <c r="B587" s="32" t="s">
        <v>262</v>
      </c>
      <c r="C587" s="28">
        <v>3.1</v>
      </c>
      <c r="D587">
        <f t="shared" si="10"/>
        <v>999999999</v>
      </c>
      <c r="E587">
        <v>74</v>
      </c>
      <c r="F587" s="26" t="s">
        <v>577</v>
      </c>
    </row>
    <row r="588" spans="1:6" x14ac:dyDescent="0.3">
      <c r="A588" s="32" t="s">
        <v>53</v>
      </c>
      <c r="B588" s="32" t="s">
        <v>262</v>
      </c>
      <c r="C588" s="28">
        <v>3.1</v>
      </c>
      <c r="D588">
        <f t="shared" si="10"/>
        <v>999999999</v>
      </c>
      <c r="E588">
        <v>74</v>
      </c>
      <c r="F588" s="26" t="s">
        <v>577</v>
      </c>
    </row>
    <row r="589" spans="1:6" x14ac:dyDescent="0.3">
      <c r="A589" s="32" t="s">
        <v>53</v>
      </c>
      <c r="B589" s="32" t="s">
        <v>259</v>
      </c>
      <c r="C589" s="28">
        <v>3.8</v>
      </c>
      <c r="D589">
        <f t="shared" si="10"/>
        <v>999999999</v>
      </c>
      <c r="E589">
        <v>74</v>
      </c>
      <c r="F589" s="26" t="s">
        <v>577</v>
      </c>
    </row>
    <row r="590" spans="1:6" x14ac:dyDescent="0.3">
      <c r="A590" s="32" t="s">
        <v>53</v>
      </c>
      <c r="B590" s="32" t="s">
        <v>260</v>
      </c>
      <c r="C590" s="28">
        <v>3.9</v>
      </c>
      <c r="D590">
        <f t="shared" si="10"/>
        <v>999999999</v>
      </c>
      <c r="E590">
        <v>74</v>
      </c>
      <c r="F590" s="26" t="s">
        <v>577</v>
      </c>
    </row>
    <row r="591" spans="1:6" x14ac:dyDescent="0.3">
      <c r="A591" s="32" t="s">
        <v>54</v>
      </c>
      <c r="B591" s="32" t="s">
        <v>268</v>
      </c>
      <c r="C591" s="28">
        <v>1</v>
      </c>
      <c r="D591">
        <f t="shared" si="10"/>
        <v>999999999</v>
      </c>
      <c r="E591">
        <v>75</v>
      </c>
      <c r="F591" s="26" t="s">
        <v>577</v>
      </c>
    </row>
    <row r="592" spans="1:6" x14ac:dyDescent="0.3">
      <c r="A592" s="32" t="s">
        <v>54</v>
      </c>
      <c r="B592" s="32" t="s">
        <v>268</v>
      </c>
      <c r="C592" s="28">
        <v>1</v>
      </c>
      <c r="D592">
        <f t="shared" si="10"/>
        <v>999999999</v>
      </c>
      <c r="E592">
        <v>75</v>
      </c>
      <c r="F592" s="26" t="s">
        <v>577</v>
      </c>
    </row>
    <row r="593" spans="1:6" x14ac:dyDescent="0.3">
      <c r="A593" s="32" t="s">
        <v>54</v>
      </c>
      <c r="B593" s="32" t="s">
        <v>266</v>
      </c>
      <c r="C593" s="28">
        <v>1.5</v>
      </c>
      <c r="D593">
        <f t="shared" si="10"/>
        <v>999999999</v>
      </c>
      <c r="E593">
        <v>75</v>
      </c>
      <c r="F593" s="26" t="s">
        <v>577</v>
      </c>
    </row>
    <row r="594" spans="1:6" x14ac:dyDescent="0.3">
      <c r="A594" s="32" t="s">
        <v>54</v>
      </c>
      <c r="B594" s="32" t="s">
        <v>266</v>
      </c>
      <c r="C594" s="28">
        <v>1.5</v>
      </c>
      <c r="D594">
        <f t="shared" si="10"/>
        <v>999999999</v>
      </c>
      <c r="E594">
        <v>75</v>
      </c>
      <c r="F594" s="26" t="s">
        <v>577</v>
      </c>
    </row>
    <row r="595" spans="1:6" x14ac:dyDescent="0.3">
      <c r="A595" s="32" t="s">
        <v>54</v>
      </c>
      <c r="B595" s="32" t="s">
        <v>265</v>
      </c>
      <c r="C595" s="28">
        <v>2.5</v>
      </c>
      <c r="D595">
        <f t="shared" si="10"/>
        <v>999999999</v>
      </c>
      <c r="E595">
        <v>75</v>
      </c>
      <c r="F595" s="26" t="s">
        <v>577</v>
      </c>
    </row>
    <row r="596" spans="1:6" x14ac:dyDescent="0.3">
      <c r="A596" s="32" t="s">
        <v>54</v>
      </c>
      <c r="B596" s="32" t="s">
        <v>267</v>
      </c>
      <c r="C596" s="28">
        <v>2.5</v>
      </c>
      <c r="D596">
        <f t="shared" si="10"/>
        <v>999999999</v>
      </c>
      <c r="E596">
        <v>75</v>
      </c>
      <c r="F596" s="26" t="s">
        <v>577</v>
      </c>
    </row>
    <row r="597" spans="1:6" x14ac:dyDescent="0.3">
      <c r="A597" s="32" t="s">
        <v>54</v>
      </c>
      <c r="B597" s="32" t="s">
        <v>265</v>
      </c>
      <c r="C597" s="28">
        <v>2.5</v>
      </c>
      <c r="D597">
        <f t="shared" si="10"/>
        <v>999999999</v>
      </c>
      <c r="E597">
        <v>75</v>
      </c>
      <c r="F597" s="26" t="s">
        <v>577</v>
      </c>
    </row>
    <row r="598" spans="1:6" x14ac:dyDescent="0.3">
      <c r="A598" s="32" t="s">
        <v>54</v>
      </c>
      <c r="B598" s="32" t="s">
        <v>418</v>
      </c>
      <c r="C598" s="28">
        <v>2.5</v>
      </c>
      <c r="D598">
        <f t="shared" si="10"/>
        <v>999999999</v>
      </c>
      <c r="E598">
        <v>75</v>
      </c>
      <c r="F598" s="26" t="s">
        <v>577</v>
      </c>
    </row>
    <row r="599" spans="1:6" x14ac:dyDescent="0.3">
      <c r="A599" s="32" t="s">
        <v>55</v>
      </c>
      <c r="B599" s="32" t="s">
        <v>269</v>
      </c>
      <c r="C599" s="28">
        <v>0.5</v>
      </c>
      <c r="D599">
        <f t="shared" si="10"/>
        <v>999999999</v>
      </c>
      <c r="E599">
        <v>76</v>
      </c>
      <c r="F599" s="26" t="s">
        <v>577</v>
      </c>
    </row>
    <row r="600" spans="1:6" x14ac:dyDescent="0.3">
      <c r="A600" s="32" t="s">
        <v>55</v>
      </c>
      <c r="B600" s="32" t="s">
        <v>275</v>
      </c>
      <c r="C600" s="28">
        <v>0.5</v>
      </c>
      <c r="D600">
        <f t="shared" si="10"/>
        <v>999999999</v>
      </c>
      <c r="E600">
        <v>76</v>
      </c>
      <c r="F600" s="26" t="s">
        <v>577</v>
      </c>
    </row>
    <row r="601" spans="1:6" x14ac:dyDescent="0.3">
      <c r="A601" s="32" t="s">
        <v>55</v>
      </c>
      <c r="B601" s="32" t="s">
        <v>276</v>
      </c>
      <c r="C601" s="28">
        <v>0.5</v>
      </c>
      <c r="D601">
        <f t="shared" si="10"/>
        <v>999999999</v>
      </c>
      <c r="E601">
        <v>76</v>
      </c>
      <c r="F601" s="26" t="s">
        <v>577</v>
      </c>
    </row>
    <row r="602" spans="1:6" x14ac:dyDescent="0.3">
      <c r="A602" s="32" t="s">
        <v>55</v>
      </c>
      <c r="B602" s="32" t="s">
        <v>269</v>
      </c>
      <c r="C602" s="28">
        <v>0.5</v>
      </c>
      <c r="D602">
        <f t="shared" si="10"/>
        <v>999999999</v>
      </c>
      <c r="E602">
        <v>76</v>
      </c>
      <c r="F602" s="26" t="s">
        <v>577</v>
      </c>
    </row>
    <row r="603" spans="1:6" x14ac:dyDescent="0.3">
      <c r="A603" s="32" t="s">
        <v>55</v>
      </c>
      <c r="B603" s="32" t="s">
        <v>275</v>
      </c>
      <c r="C603" s="28">
        <v>0.5</v>
      </c>
      <c r="D603">
        <f t="shared" si="10"/>
        <v>999999999</v>
      </c>
      <c r="E603">
        <v>76</v>
      </c>
      <c r="F603" s="26" t="s">
        <v>577</v>
      </c>
    </row>
    <row r="604" spans="1:6" x14ac:dyDescent="0.3">
      <c r="A604" s="32" t="s">
        <v>55</v>
      </c>
      <c r="B604" s="32" t="s">
        <v>276</v>
      </c>
      <c r="C604" s="28">
        <v>0.5</v>
      </c>
      <c r="D604">
        <f t="shared" si="10"/>
        <v>999999999</v>
      </c>
      <c r="E604">
        <v>76</v>
      </c>
      <c r="F604" s="26" t="s">
        <v>577</v>
      </c>
    </row>
    <row r="605" spans="1:6" x14ac:dyDescent="0.3">
      <c r="A605" s="32" t="s">
        <v>55</v>
      </c>
      <c r="B605" s="32" t="s">
        <v>269</v>
      </c>
      <c r="C605" s="28">
        <v>0.5</v>
      </c>
      <c r="D605">
        <f t="shared" si="10"/>
        <v>999999999</v>
      </c>
      <c r="E605">
        <v>76</v>
      </c>
      <c r="F605" s="26" t="s">
        <v>577</v>
      </c>
    </row>
    <row r="606" spans="1:6" x14ac:dyDescent="0.3">
      <c r="A606" s="32" t="s">
        <v>55</v>
      </c>
      <c r="B606" s="32" t="s">
        <v>275</v>
      </c>
      <c r="C606" s="28">
        <v>0.5</v>
      </c>
      <c r="D606">
        <f t="shared" si="10"/>
        <v>999999999</v>
      </c>
      <c r="E606">
        <v>76</v>
      </c>
      <c r="F606" s="26" t="s">
        <v>577</v>
      </c>
    </row>
    <row r="607" spans="1:6" x14ac:dyDescent="0.3">
      <c r="A607" s="32" t="s">
        <v>55</v>
      </c>
      <c r="B607" s="32" t="s">
        <v>269</v>
      </c>
      <c r="C607" s="28">
        <v>0.5</v>
      </c>
      <c r="D607">
        <f t="shared" si="10"/>
        <v>999999999</v>
      </c>
      <c r="E607">
        <v>76</v>
      </c>
      <c r="F607" s="26" t="s">
        <v>577</v>
      </c>
    </row>
    <row r="608" spans="1:6" x14ac:dyDescent="0.3">
      <c r="A608" s="32" t="s">
        <v>55</v>
      </c>
      <c r="B608" s="32" t="s">
        <v>275</v>
      </c>
      <c r="C608" s="28">
        <v>0.5</v>
      </c>
      <c r="D608">
        <f t="shared" si="10"/>
        <v>999999999</v>
      </c>
      <c r="E608">
        <v>76</v>
      </c>
      <c r="F608" s="26" t="s">
        <v>577</v>
      </c>
    </row>
    <row r="609" spans="1:6" x14ac:dyDescent="0.3">
      <c r="A609" s="32" t="s">
        <v>55</v>
      </c>
      <c r="B609" s="32" t="s">
        <v>276</v>
      </c>
      <c r="C609" s="28">
        <v>0.5</v>
      </c>
      <c r="D609">
        <f t="shared" si="10"/>
        <v>999999999</v>
      </c>
      <c r="E609">
        <v>76</v>
      </c>
      <c r="F609" s="26" t="s">
        <v>577</v>
      </c>
    </row>
    <row r="610" spans="1:6" x14ac:dyDescent="0.3">
      <c r="A610" s="32" t="s">
        <v>55</v>
      </c>
      <c r="B610" s="32" t="s">
        <v>269</v>
      </c>
      <c r="C610" s="28">
        <v>0.5</v>
      </c>
      <c r="D610">
        <f t="shared" si="10"/>
        <v>999999999</v>
      </c>
      <c r="E610">
        <v>76</v>
      </c>
      <c r="F610" s="26" t="s">
        <v>577</v>
      </c>
    </row>
    <row r="611" spans="1:6" x14ac:dyDescent="0.3">
      <c r="A611" s="32" t="s">
        <v>55</v>
      </c>
      <c r="B611" s="32" t="s">
        <v>275</v>
      </c>
      <c r="C611" s="28">
        <v>0.5</v>
      </c>
      <c r="D611">
        <f t="shared" si="10"/>
        <v>999999999</v>
      </c>
      <c r="E611">
        <v>76</v>
      </c>
      <c r="F611" s="26" t="s">
        <v>577</v>
      </c>
    </row>
    <row r="612" spans="1:6" x14ac:dyDescent="0.3">
      <c r="A612" s="32" t="s">
        <v>55</v>
      </c>
      <c r="B612" s="32" t="s">
        <v>276</v>
      </c>
      <c r="C612" s="28">
        <v>0.5</v>
      </c>
      <c r="D612">
        <f t="shared" si="10"/>
        <v>999999999</v>
      </c>
      <c r="E612">
        <v>76</v>
      </c>
      <c r="F612" s="26" t="s">
        <v>577</v>
      </c>
    </row>
    <row r="613" spans="1:6" x14ac:dyDescent="0.3">
      <c r="A613" s="32" t="s">
        <v>55</v>
      </c>
      <c r="B613" s="32" t="s">
        <v>269</v>
      </c>
      <c r="C613" s="28">
        <v>0.5</v>
      </c>
      <c r="D613">
        <f t="shared" si="10"/>
        <v>999999999</v>
      </c>
      <c r="E613">
        <v>76</v>
      </c>
      <c r="F613" s="26" t="s">
        <v>577</v>
      </c>
    </row>
    <row r="614" spans="1:6" x14ac:dyDescent="0.3">
      <c r="A614" s="32" t="s">
        <v>55</v>
      </c>
      <c r="B614" s="32" t="s">
        <v>275</v>
      </c>
      <c r="C614" s="28">
        <v>0.5</v>
      </c>
      <c r="D614">
        <f t="shared" si="10"/>
        <v>999999999</v>
      </c>
      <c r="E614">
        <v>76</v>
      </c>
      <c r="F614" s="26" t="s">
        <v>577</v>
      </c>
    </row>
    <row r="615" spans="1:6" x14ac:dyDescent="0.3">
      <c r="A615" s="32" t="s">
        <v>55</v>
      </c>
      <c r="B615" s="32" t="s">
        <v>276</v>
      </c>
      <c r="C615" s="28">
        <v>0.5</v>
      </c>
      <c r="D615">
        <f t="shared" si="10"/>
        <v>999999999</v>
      </c>
      <c r="E615">
        <v>76</v>
      </c>
      <c r="F615" s="26" t="s">
        <v>577</v>
      </c>
    </row>
    <row r="616" spans="1:6" x14ac:dyDescent="0.3">
      <c r="A616" s="32" t="s">
        <v>55</v>
      </c>
      <c r="B616" s="32" t="s">
        <v>270</v>
      </c>
      <c r="C616" s="28">
        <v>2.1</v>
      </c>
      <c r="D616">
        <f t="shared" si="10"/>
        <v>999999999</v>
      </c>
      <c r="E616">
        <v>76</v>
      </c>
      <c r="F616" s="26" t="s">
        <v>577</v>
      </c>
    </row>
    <row r="617" spans="1:6" x14ac:dyDescent="0.3">
      <c r="A617" s="32" t="s">
        <v>55</v>
      </c>
      <c r="B617" s="32" t="s">
        <v>270</v>
      </c>
      <c r="C617" s="28">
        <v>2.1</v>
      </c>
      <c r="D617">
        <f t="shared" si="10"/>
        <v>999999999</v>
      </c>
      <c r="E617">
        <v>76</v>
      </c>
      <c r="F617" s="26" t="s">
        <v>577</v>
      </c>
    </row>
    <row r="618" spans="1:6" x14ac:dyDescent="0.3">
      <c r="A618" s="32" t="s">
        <v>55</v>
      </c>
      <c r="B618" s="32" t="s">
        <v>270</v>
      </c>
      <c r="C618" s="28">
        <v>2.1</v>
      </c>
      <c r="D618">
        <f t="shared" si="10"/>
        <v>999999999</v>
      </c>
      <c r="E618">
        <v>76</v>
      </c>
      <c r="F618" s="26" t="s">
        <v>577</v>
      </c>
    </row>
    <row r="619" spans="1:6" x14ac:dyDescent="0.3">
      <c r="A619" s="32" t="s">
        <v>55</v>
      </c>
      <c r="B619" s="32" t="s">
        <v>270</v>
      </c>
      <c r="C619" s="28">
        <v>2.1</v>
      </c>
      <c r="D619">
        <f t="shared" si="10"/>
        <v>999999999</v>
      </c>
      <c r="E619">
        <v>76</v>
      </c>
      <c r="F619" s="26" t="s">
        <v>577</v>
      </c>
    </row>
    <row r="620" spans="1:6" x14ac:dyDescent="0.3">
      <c r="A620" s="32" t="s">
        <v>55</v>
      </c>
      <c r="B620" s="32" t="s">
        <v>420</v>
      </c>
      <c r="C620" s="28">
        <v>2.1</v>
      </c>
      <c r="D620">
        <f t="shared" si="10"/>
        <v>999999999</v>
      </c>
      <c r="E620">
        <v>76</v>
      </c>
      <c r="F620" s="26" t="s">
        <v>577</v>
      </c>
    </row>
    <row r="621" spans="1:6" x14ac:dyDescent="0.3">
      <c r="A621" s="32" t="s">
        <v>55</v>
      </c>
      <c r="B621" s="32" t="s">
        <v>420</v>
      </c>
      <c r="C621" s="28">
        <v>2.1</v>
      </c>
      <c r="D621">
        <f t="shared" si="10"/>
        <v>999999999</v>
      </c>
      <c r="E621">
        <v>76</v>
      </c>
      <c r="F621" s="26" t="s">
        <v>577</v>
      </c>
    </row>
    <row r="622" spans="1:6" x14ac:dyDescent="0.3">
      <c r="A622" s="32" t="s">
        <v>55</v>
      </c>
      <c r="B622" s="32" t="s">
        <v>270</v>
      </c>
      <c r="C622" s="28">
        <v>2.1</v>
      </c>
      <c r="D622">
        <f t="shared" si="10"/>
        <v>999999999</v>
      </c>
      <c r="E622">
        <v>76</v>
      </c>
      <c r="F622" s="26" t="s">
        <v>577</v>
      </c>
    </row>
    <row r="623" spans="1:6" x14ac:dyDescent="0.3">
      <c r="A623" s="32" t="s">
        <v>55</v>
      </c>
      <c r="B623" s="32" t="s">
        <v>273</v>
      </c>
      <c r="C623" s="28">
        <v>3</v>
      </c>
      <c r="D623">
        <f t="shared" si="10"/>
        <v>999999999</v>
      </c>
      <c r="E623">
        <v>76</v>
      </c>
      <c r="F623" s="26" t="s">
        <v>577</v>
      </c>
    </row>
    <row r="624" spans="1:6" x14ac:dyDescent="0.3">
      <c r="A624" s="32" t="s">
        <v>55</v>
      </c>
      <c r="B624" s="32" t="s">
        <v>273</v>
      </c>
      <c r="C624" s="28">
        <v>3</v>
      </c>
      <c r="D624">
        <f t="shared" si="10"/>
        <v>999999999</v>
      </c>
      <c r="E624">
        <v>76</v>
      </c>
      <c r="F624" s="26" t="s">
        <v>577</v>
      </c>
    </row>
    <row r="625" spans="1:6" x14ac:dyDescent="0.3">
      <c r="A625" s="32" t="s">
        <v>55</v>
      </c>
      <c r="B625" s="32" t="s">
        <v>273</v>
      </c>
      <c r="C625" s="28">
        <v>3</v>
      </c>
      <c r="D625">
        <f t="shared" si="10"/>
        <v>999999999</v>
      </c>
      <c r="E625">
        <v>76</v>
      </c>
      <c r="F625" s="26" t="s">
        <v>577</v>
      </c>
    </row>
    <row r="626" spans="1:6" x14ac:dyDescent="0.3">
      <c r="A626" s="32" t="s">
        <v>55</v>
      </c>
      <c r="B626" s="32" t="s">
        <v>273</v>
      </c>
      <c r="C626" s="28">
        <v>3</v>
      </c>
      <c r="D626">
        <f t="shared" si="10"/>
        <v>999999999</v>
      </c>
      <c r="E626">
        <v>76</v>
      </c>
      <c r="F626" s="26" t="s">
        <v>577</v>
      </c>
    </row>
    <row r="627" spans="1:6" x14ac:dyDescent="0.3">
      <c r="A627" s="32" t="s">
        <v>55</v>
      </c>
      <c r="B627" s="32" t="s">
        <v>273</v>
      </c>
      <c r="C627" s="28">
        <v>3</v>
      </c>
      <c r="D627">
        <f t="shared" si="10"/>
        <v>999999999</v>
      </c>
      <c r="E627">
        <v>76</v>
      </c>
      <c r="F627" s="26" t="s">
        <v>577</v>
      </c>
    </row>
    <row r="628" spans="1:6" x14ac:dyDescent="0.3">
      <c r="A628" s="32" t="s">
        <v>55</v>
      </c>
      <c r="B628" s="32" t="s">
        <v>273</v>
      </c>
      <c r="C628" s="28">
        <v>3</v>
      </c>
      <c r="D628">
        <f t="shared" si="10"/>
        <v>999999999</v>
      </c>
      <c r="E628">
        <v>76</v>
      </c>
      <c r="F628" s="26" t="s">
        <v>577</v>
      </c>
    </row>
    <row r="629" spans="1:6" x14ac:dyDescent="0.3">
      <c r="A629" s="32" t="s">
        <v>55</v>
      </c>
      <c r="B629" s="32" t="s">
        <v>274</v>
      </c>
      <c r="C629" s="28">
        <v>3.1</v>
      </c>
      <c r="D629">
        <f t="shared" si="10"/>
        <v>999999999</v>
      </c>
      <c r="E629">
        <v>76</v>
      </c>
      <c r="F629" s="26" t="s">
        <v>577</v>
      </c>
    </row>
    <row r="630" spans="1:6" x14ac:dyDescent="0.3">
      <c r="A630" s="32" t="s">
        <v>55</v>
      </c>
      <c r="B630" s="32" t="s">
        <v>420</v>
      </c>
      <c r="C630" s="28">
        <v>3.1</v>
      </c>
      <c r="D630">
        <f t="shared" si="10"/>
        <v>999999999</v>
      </c>
      <c r="E630">
        <v>76</v>
      </c>
      <c r="F630" s="26" t="s">
        <v>577</v>
      </c>
    </row>
    <row r="631" spans="1:6" x14ac:dyDescent="0.3">
      <c r="A631" s="32" t="s">
        <v>55</v>
      </c>
      <c r="B631" s="32" t="s">
        <v>420</v>
      </c>
      <c r="C631" s="28">
        <v>3.1</v>
      </c>
      <c r="D631">
        <f t="shared" si="10"/>
        <v>999999999</v>
      </c>
      <c r="E631">
        <v>76</v>
      </c>
      <c r="F631" s="26" t="s">
        <v>577</v>
      </c>
    </row>
    <row r="632" spans="1:6" x14ac:dyDescent="0.3">
      <c r="A632" s="32" t="s">
        <v>55</v>
      </c>
      <c r="B632" s="32" t="s">
        <v>421</v>
      </c>
      <c r="C632" s="28">
        <v>3.1</v>
      </c>
      <c r="D632">
        <f t="shared" si="10"/>
        <v>999999999</v>
      </c>
      <c r="E632">
        <v>76</v>
      </c>
      <c r="F632" s="26" t="s">
        <v>577</v>
      </c>
    </row>
    <row r="633" spans="1:6" x14ac:dyDescent="0.3">
      <c r="A633" s="32" t="s">
        <v>55</v>
      </c>
      <c r="B633" s="32" t="s">
        <v>423</v>
      </c>
      <c r="C633" s="28">
        <v>3.1</v>
      </c>
      <c r="D633">
        <f t="shared" si="10"/>
        <v>999999999</v>
      </c>
      <c r="E633">
        <v>76</v>
      </c>
      <c r="F633" s="26" t="s">
        <v>577</v>
      </c>
    </row>
    <row r="634" spans="1:6" x14ac:dyDescent="0.3">
      <c r="A634" s="32" t="s">
        <v>55</v>
      </c>
      <c r="B634" s="32" t="s">
        <v>424</v>
      </c>
      <c r="C634" s="28">
        <v>3.1</v>
      </c>
      <c r="D634">
        <f t="shared" si="10"/>
        <v>999999999</v>
      </c>
      <c r="E634">
        <v>76</v>
      </c>
      <c r="F634" s="26" t="s">
        <v>577</v>
      </c>
    </row>
    <row r="635" spans="1:6" x14ac:dyDescent="0.3">
      <c r="A635" s="32" t="s">
        <v>55</v>
      </c>
      <c r="B635" s="32" t="s">
        <v>425</v>
      </c>
      <c r="C635" s="28">
        <v>3.1</v>
      </c>
      <c r="D635">
        <f t="shared" si="10"/>
        <v>999999999</v>
      </c>
      <c r="E635">
        <v>76</v>
      </c>
      <c r="F635" s="26" t="s">
        <v>577</v>
      </c>
    </row>
    <row r="636" spans="1:6" x14ac:dyDescent="0.3">
      <c r="A636" s="32" t="s">
        <v>55</v>
      </c>
      <c r="B636" s="32" t="s">
        <v>420</v>
      </c>
      <c r="C636" s="28">
        <v>3.1</v>
      </c>
      <c r="D636">
        <f t="shared" si="10"/>
        <v>999999999</v>
      </c>
      <c r="E636">
        <v>76</v>
      </c>
      <c r="F636" s="26" t="s">
        <v>577</v>
      </c>
    </row>
    <row r="637" spans="1:6" x14ac:dyDescent="0.3">
      <c r="A637" s="32" t="s">
        <v>55</v>
      </c>
      <c r="B637" s="32" t="s">
        <v>426</v>
      </c>
      <c r="C637" s="28">
        <v>3.1</v>
      </c>
      <c r="D637">
        <f t="shared" si="10"/>
        <v>999999999</v>
      </c>
      <c r="E637">
        <v>76</v>
      </c>
      <c r="F637" s="26" t="s">
        <v>577</v>
      </c>
    </row>
    <row r="638" spans="1:6" x14ac:dyDescent="0.3">
      <c r="A638" s="32" t="s">
        <v>55</v>
      </c>
      <c r="B638" s="32" t="s">
        <v>427</v>
      </c>
      <c r="C638" s="28">
        <v>3.1</v>
      </c>
      <c r="D638">
        <f t="shared" si="10"/>
        <v>999999999</v>
      </c>
      <c r="E638">
        <v>76</v>
      </c>
      <c r="F638" s="26" t="s">
        <v>577</v>
      </c>
    </row>
    <row r="639" spans="1:6" x14ac:dyDescent="0.3">
      <c r="A639" s="32" t="s">
        <v>55</v>
      </c>
      <c r="B639" s="32" t="s">
        <v>272</v>
      </c>
      <c r="C639" s="28">
        <v>4</v>
      </c>
      <c r="D639">
        <f t="shared" si="10"/>
        <v>999999999</v>
      </c>
      <c r="E639">
        <v>76</v>
      </c>
      <c r="F639" s="26" t="s">
        <v>577</v>
      </c>
    </row>
    <row r="640" spans="1:6" x14ac:dyDescent="0.3">
      <c r="A640" s="32" t="s">
        <v>55</v>
      </c>
      <c r="B640" s="32" t="s">
        <v>272</v>
      </c>
      <c r="C640" s="28">
        <v>4</v>
      </c>
      <c r="D640">
        <f t="shared" si="10"/>
        <v>999999999</v>
      </c>
      <c r="E640">
        <v>76</v>
      </c>
      <c r="F640" s="26" t="s">
        <v>577</v>
      </c>
    </row>
    <row r="641" spans="1:6" x14ac:dyDescent="0.3">
      <c r="A641" s="32" t="s">
        <v>55</v>
      </c>
      <c r="B641" s="32" t="s">
        <v>272</v>
      </c>
      <c r="C641" s="28">
        <v>4</v>
      </c>
      <c r="D641">
        <f t="shared" si="10"/>
        <v>999999999</v>
      </c>
      <c r="E641">
        <v>76</v>
      </c>
      <c r="F641" s="26" t="s">
        <v>577</v>
      </c>
    </row>
    <row r="642" spans="1:6" x14ac:dyDescent="0.3">
      <c r="A642" s="32" t="s">
        <v>55</v>
      </c>
      <c r="B642" s="32" t="s">
        <v>272</v>
      </c>
      <c r="C642" s="28">
        <v>4</v>
      </c>
      <c r="D642">
        <f t="shared" si="10"/>
        <v>999999999</v>
      </c>
      <c r="E642">
        <v>76</v>
      </c>
      <c r="F642" s="26" t="s">
        <v>577</v>
      </c>
    </row>
    <row r="643" spans="1:6" x14ac:dyDescent="0.3">
      <c r="A643" s="32" t="s">
        <v>55</v>
      </c>
      <c r="B643" s="32" t="s">
        <v>272</v>
      </c>
      <c r="C643" s="28">
        <v>4</v>
      </c>
      <c r="D643">
        <f t="shared" si="10"/>
        <v>999999999</v>
      </c>
      <c r="E643">
        <v>76</v>
      </c>
      <c r="F643" s="26" t="s">
        <v>577</v>
      </c>
    </row>
    <row r="644" spans="1:6" x14ac:dyDescent="0.3">
      <c r="A644" s="32" t="s">
        <v>55</v>
      </c>
      <c r="B644" s="32" t="s">
        <v>419</v>
      </c>
      <c r="C644" s="28">
        <v>4.5</v>
      </c>
      <c r="D644">
        <f t="shared" si="10"/>
        <v>999999999</v>
      </c>
      <c r="E644">
        <v>76</v>
      </c>
      <c r="F644" s="26" t="s">
        <v>577</v>
      </c>
    </row>
    <row r="645" spans="1:6" x14ac:dyDescent="0.3">
      <c r="A645" s="32" t="s">
        <v>55</v>
      </c>
      <c r="B645" s="32" t="s">
        <v>419</v>
      </c>
      <c r="C645" s="28">
        <v>4.8</v>
      </c>
      <c r="D645">
        <f t="shared" si="10"/>
        <v>999999999</v>
      </c>
      <c r="E645">
        <v>76</v>
      </c>
      <c r="F645" s="26" t="s">
        <v>577</v>
      </c>
    </row>
    <row r="646" spans="1:6" x14ac:dyDescent="0.3">
      <c r="A646" s="32" t="s">
        <v>55</v>
      </c>
      <c r="B646" s="32" t="s">
        <v>422</v>
      </c>
      <c r="C646" s="28">
        <v>4.8</v>
      </c>
      <c r="D646">
        <f t="shared" si="10"/>
        <v>999999999</v>
      </c>
      <c r="E646">
        <v>76</v>
      </c>
      <c r="F646" s="26" t="s">
        <v>577</v>
      </c>
    </row>
    <row r="647" spans="1:6" x14ac:dyDescent="0.3">
      <c r="A647" s="32" t="s">
        <v>55</v>
      </c>
      <c r="B647" s="32" t="s">
        <v>271</v>
      </c>
      <c r="C647" s="28">
        <v>5.5</v>
      </c>
      <c r="D647">
        <f t="shared" si="10"/>
        <v>999999999</v>
      </c>
      <c r="E647">
        <v>76</v>
      </c>
      <c r="F647" s="26" t="s">
        <v>577</v>
      </c>
    </row>
    <row r="648" spans="1:6" x14ac:dyDescent="0.3">
      <c r="A648" s="32" t="s">
        <v>55</v>
      </c>
      <c r="B648" s="32" t="s">
        <v>271</v>
      </c>
      <c r="C648" s="28">
        <v>5.5</v>
      </c>
      <c r="D648">
        <f t="shared" si="10"/>
        <v>999999999</v>
      </c>
      <c r="E648">
        <v>76</v>
      </c>
      <c r="F648" s="26" t="s">
        <v>577</v>
      </c>
    </row>
    <row r="649" spans="1:6" x14ac:dyDescent="0.3">
      <c r="A649" s="32" t="s">
        <v>55</v>
      </c>
      <c r="B649" s="32" t="s">
        <v>271</v>
      </c>
      <c r="C649" s="28">
        <v>5.5</v>
      </c>
      <c r="D649">
        <f t="shared" ref="D649:D712" si="11">IF(F649="Sabit",999999999,1000000)</f>
        <v>999999999</v>
      </c>
      <c r="E649">
        <v>76</v>
      </c>
      <c r="F649" s="26" t="s">
        <v>577</v>
      </c>
    </row>
    <row r="650" spans="1:6" x14ac:dyDescent="0.3">
      <c r="A650" s="32" t="s">
        <v>55</v>
      </c>
      <c r="B650" s="32" t="s">
        <v>271</v>
      </c>
      <c r="C650" s="28">
        <v>5.5</v>
      </c>
      <c r="D650">
        <f t="shared" si="11"/>
        <v>999999999</v>
      </c>
      <c r="E650">
        <v>76</v>
      </c>
      <c r="F650" s="26" t="s">
        <v>577</v>
      </c>
    </row>
    <row r="651" spans="1:6" x14ac:dyDescent="0.3">
      <c r="A651" s="32" t="s">
        <v>55</v>
      </c>
      <c r="B651" s="32" t="s">
        <v>271</v>
      </c>
      <c r="C651" s="28">
        <v>5.5</v>
      </c>
      <c r="D651">
        <f t="shared" si="11"/>
        <v>999999999</v>
      </c>
      <c r="E651">
        <v>76</v>
      </c>
      <c r="F651" s="26" t="s">
        <v>577</v>
      </c>
    </row>
    <row r="652" spans="1:6" x14ac:dyDescent="0.3">
      <c r="A652" s="32" t="s">
        <v>55</v>
      </c>
      <c r="B652" s="32" t="s">
        <v>271</v>
      </c>
      <c r="C652" s="28">
        <v>5.5</v>
      </c>
      <c r="D652">
        <f t="shared" si="11"/>
        <v>999999999</v>
      </c>
      <c r="E652">
        <v>76</v>
      </c>
      <c r="F652" s="26" t="s">
        <v>577</v>
      </c>
    </row>
    <row r="653" spans="1:6" x14ac:dyDescent="0.3">
      <c r="A653" s="32" t="s">
        <v>56</v>
      </c>
      <c r="B653" s="32" t="s">
        <v>428</v>
      </c>
      <c r="C653" s="28">
        <v>1</v>
      </c>
      <c r="D653">
        <f t="shared" si="11"/>
        <v>999999999</v>
      </c>
      <c r="E653">
        <v>77</v>
      </c>
      <c r="F653" s="26" t="s">
        <v>577</v>
      </c>
    </row>
    <row r="654" spans="1:6" x14ac:dyDescent="0.3">
      <c r="A654" s="32" t="s">
        <v>56</v>
      </c>
      <c r="B654" s="32" t="s">
        <v>279</v>
      </c>
      <c r="C654" s="28">
        <v>2.5</v>
      </c>
      <c r="D654">
        <f t="shared" si="11"/>
        <v>999999999</v>
      </c>
      <c r="E654">
        <v>77</v>
      </c>
      <c r="F654" s="26" t="s">
        <v>577</v>
      </c>
    </row>
    <row r="655" spans="1:6" x14ac:dyDescent="0.3">
      <c r="A655" s="32" t="s">
        <v>56</v>
      </c>
      <c r="B655" s="32" t="s">
        <v>279</v>
      </c>
      <c r="C655" s="28">
        <v>2.5</v>
      </c>
      <c r="D655">
        <f t="shared" si="11"/>
        <v>999999999</v>
      </c>
      <c r="E655">
        <v>77</v>
      </c>
      <c r="F655" s="26" t="s">
        <v>577</v>
      </c>
    </row>
    <row r="656" spans="1:6" x14ac:dyDescent="0.3">
      <c r="A656" s="32" t="s">
        <v>56</v>
      </c>
      <c r="B656" s="32" t="s">
        <v>279</v>
      </c>
      <c r="C656" s="28">
        <v>2.5</v>
      </c>
      <c r="D656">
        <f t="shared" si="11"/>
        <v>999999999</v>
      </c>
      <c r="E656">
        <v>77</v>
      </c>
      <c r="F656" s="26" t="s">
        <v>577</v>
      </c>
    </row>
    <row r="657" spans="1:6" x14ac:dyDescent="0.3">
      <c r="A657" s="32" t="s">
        <v>56</v>
      </c>
      <c r="B657" s="32" t="s">
        <v>279</v>
      </c>
      <c r="C657" s="28">
        <v>2.5</v>
      </c>
      <c r="D657">
        <f t="shared" si="11"/>
        <v>999999999</v>
      </c>
      <c r="E657">
        <v>77</v>
      </c>
      <c r="F657" s="26" t="s">
        <v>577</v>
      </c>
    </row>
    <row r="658" spans="1:6" x14ac:dyDescent="0.3">
      <c r="A658" s="32" t="s">
        <v>56</v>
      </c>
      <c r="B658" s="32" t="s">
        <v>431</v>
      </c>
      <c r="C658" s="28">
        <v>4.5</v>
      </c>
      <c r="D658">
        <f t="shared" si="11"/>
        <v>999999999</v>
      </c>
      <c r="E658">
        <v>77</v>
      </c>
      <c r="F658" s="26" t="s">
        <v>577</v>
      </c>
    </row>
    <row r="659" spans="1:6" x14ac:dyDescent="0.3">
      <c r="A659" s="32" t="s">
        <v>56</v>
      </c>
      <c r="B659" s="32" t="s">
        <v>429</v>
      </c>
      <c r="C659" s="28">
        <v>5.0999999999999996</v>
      </c>
      <c r="D659">
        <f t="shared" si="11"/>
        <v>999999999</v>
      </c>
      <c r="E659">
        <v>77</v>
      </c>
      <c r="F659" s="26" t="s">
        <v>577</v>
      </c>
    </row>
    <row r="660" spans="1:6" x14ac:dyDescent="0.3">
      <c r="A660" s="32" t="s">
        <v>56</v>
      </c>
      <c r="B660" s="32" t="s">
        <v>278</v>
      </c>
      <c r="C660" s="28">
        <v>6.1</v>
      </c>
      <c r="D660">
        <f t="shared" si="11"/>
        <v>999999999</v>
      </c>
      <c r="E660">
        <v>77</v>
      </c>
      <c r="F660" s="26" t="s">
        <v>577</v>
      </c>
    </row>
    <row r="661" spans="1:6" x14ac:dyDescent="0.3">
      <c r="A661" s="32" t="s">
        <v>56</v>
      </c>
      <c r="B661" s="32" t="s">
        <v>430</v>
      </c>
      <c r="C661" s="28">
        <v>6.1</v>
      </c>
      <c r="D661">
        <f t="shared" si="11"/>
        <v>999999999</v>
      </c>
      <c r="E661">
        <v>77</v>
      </c>
      <c r="F661" s="26" t="s">
        <v>577</v>
      </c>
    </row>
    <row r="662" spans="1:6" x14ac:dyDescent="0.3">
      <c r="A662" s="32" t="s">
        <v>56</v>
      </c>
      <c r="B662" s="32" t="s">
        <v>278</v>
      </c>
      <c r="C662" s="28">
        <v>6.1</v>
      </c>
      <c r="D662">
        <f t="shared" si="11"/>
        <v>999999999</v>
      </c>
      <c r="E662">
        <v>77</v>
      </c>
      <c r="F662" s="26" t="s">
        <v>577</v>
      </c>
    </row>
    <row r="663" spans="1:6" x14ac:dyDescent="0.3">
      <c r="A663" s="32" t="s">
        <v>56</v>
      </c>
      <c r="B663" s="32" t="s">
        <v>277</v>
      </c>
      <c r="C663" s="28">
        <v>6.5</v>
      </c>
      <c r="D663">
        <f t="shared" si="11"/>
        <v>999999999</v>
      </c>
      <c r="E663">
        <v>77</v>
      </c>
      <c r="F663" s="26" t="s">
        <v>577</v>
      </c>
    </row>
    <row r="664" spans="1:6" x14ac:dyDescent="0.3">
      <c r="A664" s="32" t="s">
        <v>56</v>
      </c>
      <c r="B664" s="32" t="s">
        <v>277</v>
      </c>
      <c r="C664" s="28">
        <v>6.5</v>
      </c>
      <c r="D664">
        <f t="shared" si="11"/>
        <v>999999999</v>
      </c>
      <c r="E664">
        <v>77</v>
      </c>
      <c r="F664" s="26" t="s">
        <v>577</v>
      </c>
    </row>
    <row r="665" spans="1:6" x14ac:dyDescent="0.3">
      <c r="A665" s="32" t="s">
        <v>56</v>
      </c>
      <c r="B665" s="32" t="s">
        <v>277</v>
      </c>
      <c r="C665" s="28">
        <v>6.5</v>
      </c>
      <c r="D665">
        <f t="shared" si="11"/>
        <v>999999999</v>
      </c>
      <c r="E665">
        <v>77</v>
      </c>
      <c r="F665" s="26" t="s">
        <v>577</v>
      </c>
    </row>
    <row r="666" spans="1:6" x14ac:dyDescent="0.3">
      <c r="A666" s="32" t="s">
        <v>56</v>
      </c>
      <c r="B666" s="32" t="s">
        <v>277</v>
      </c>
      <c r="C666" s="28">
        <v>6.5</v>
      </c>
      <c r="D666">
        <f t="shared" si="11"/>
        <v>999999999</v>
      </c>
      <c r="E666">
        <v>77</v>
      </c>
      <c r="F666" s="26" t="s">
        <v>577</v>
      </c>
    </row>
    <row r="667" spans="1:6" x14ac:dyDescent="0.3">
      <c r="A667" s="30" t="s">
        <v>383</v>
      </c>
      <c r="B667" s="38" t="s">
        <v>482</v>
      </c>
      <c r="C667" s="31">
        <v>1</v>
      </c>
      <c r="D667">
        <f t="shared" si="11"/>
        <v>999999999</v>
      </c>
      <c r="E667">
        <v>78</v>
      </c>
      <c r="F667" s="29" t="s">
        <v>577</v>
      </c>
    </row>
    <row r="668" spans="1:6" x14ac:dyDescent="0.3">
      <c r="A668" s="30" t="s">
        <v>383</v>
      </c>
      <c r="B668" s="38" t="s">
        <v>482</v>
      </c>
      <c r="C668" s="31">
        <v>1</v>
      </c>
      <c r="D668">
        <f t="shared" si="11"/>
        <v>999999999</v>
      </c>
      <c r="E668">
        <v>78</v>
      </c>
      <c r="F668" s="29" t="s">
        <v>577</v>
      </c>
    </row>
    <row r="669" spans="1:6" x14ac:dyDescent="0.3">
      <c r="A669" s="30" t="s">
        <v>383</v>
      </c>
      <c r="B669" s="38" t="s">
        <v>479</v>
      </c>
      <c r="C669" s="31">
        <v>1.2</v>
      </c>
      <c r="D669">
        <f t="shared" si="11"/>
        <v>999999999</v>
      </c>
      <c r="E669">
        <v>78</v>
      </c>
      <c r="F669" s="29" t="s">
        <v>577</v>
      </c>
    </row>
    <row r="670" spans="1:6" x14ac:dyDescent="0.3">
      <c r="A670" s="30" t="s">
        <v>383</v>
      </c>
      <c r="B670" s="38" t="s">
        <v>479</v>
      </c>
      <c r="C670" s="31">
        <v>1.2</v>
      </c>
      <c r="D670">
        <f t="shared" si="11"/>
        <v>999999999</v>
      </c>
      <c r="E670">
        <v>78</v>
      </c>
      <c r="F670" s="29" t="s">
        <v>577</v>
      </c>
    </row>
    <row r="671" spans="1:6" x14ac:dyDescent="0.3">
      <c r="A671" s="30" t="s">
        <v>383</v>
      </c>
      <c r="B671" s="38" t="s">
        <v>481</v>
      </c>
      <c r="C671" s="31">
        <v>2.8</v>
      </c>
      <c r="D671">
        <f t="shared" si="11"/>
        <v>999999999</v>
      </c>
      <c r="E671">
        <v>78</v>
      </c>
      <c r="F671" s="29" t="s">
        <v>577</v>
      </c>
    </row>
    <row r="672" spans="1:6" x14ac:dyDescent="0.3">
      <c r="A672" s="30" t="s">
        <v>383</v>
      </c>
      <c r="B672" s="38" t="s">
        <v>481</v>
      </c>
      <c r="C672" s="31">
        <v>2.8</v>
      </c>
      <c r="D672">
        <f t="shared" si="11"/>
        <v>999999999</v>
      </c>
      <c r="E672">
        <v>78</v>
      </c>
      <c r="F672" s="29" t="s">
        <v>577</v>
      </c>
    </row>
    <row r="673" spans="1:6" x14ac:dyDescent="0.3">
      <c r="A673" s="30" t="s">
        <v>383</v>
      </c>
      <c r="B673" s="38" t="s">
        <v>483</v>
      </c>
      <c r="C673" s="31">
        <v>3.1</v>
      </c>
      <c r="D673">
        <f t="shared" si="11"/>
        <v>999999999</v>
      </c>
      <c r="E673">
        <v>78</v>
      </c>
      <c r="F673" s="29" t="s">
        <v>577</v>
      </c>
    </row>
    <row r="674" spans="1:6" x14ac:dyDescent="0.3">
      <c r="A674" s="30" t="s">
        <v>383</v>
      </c>
      <c r="B674" s="38" t="s">
        <v>478</v>
      </c>
      <c r="C674" s="31">
        <v>3.9</v>
      </c>
      <c r="D674">
        <f t="shared" si="11"/>
        <v>999999999</v>
      </c>
      <c r="E674">
        <v>78</v>
      </c>
      <c r="F674" s="29" t="s">
        <v>577</v>
      </c>
    </row>
    <row r="675" spans="1:6" x14ac:dyDescent="0.3">
      <c r="A675" s="30" t="s">
        <v>383</v>
      </c>
      <c r="B675" s="38" t="s">
        <v>478</v>
      </c>
      <c r="C675" s="31">
        <v>3.9</v>
      </c>
      <c r="D675">
        <f t="shared" si="11"/>
        <v>999999999</v>
      </c>
      <c r="E675">
        <v>78</v>
      </c>
      <c r="F675" s="29" t="s">
        <v>577</v>
      </c>
    </row>
    <row r="676" spans="1:6" x14ac:dyDescent="0.3">
      <c r="A676" s="30" t="s">
        <v>383</v>
      </c>
      <c r="B676" s="38" t="s">
        <v>498</v>
      </c>
      <c r="C676" s="31">
        <v>4.5</v>
      </c>
      <c r="D676">
        <f t="shared" si="11"/>
        <v>999999999</v>
      </c>
      <c r="E676">
        <v>78</v>
      </c>
      <c r="F676" s="29" t="s">
        <v>577</v>
      </c>
    </row>
    <row r="677" spans="1:6" x14ac:dyDescent="0.3">
      <c r="A677" s="30" t="s">
        <v>383</v>
      </c>
      <c r="B677" s="38" t="s">
        <v>480</v>
      </c>
      <c r="C677" s="31">
        <v>4.9000000000000004</v>
      </c>
      <c r="D677">
        <f t="shared" si="11"/>
        <v>999999999</v>
      </c>
      <c r="E677">
        <v>78</v>
      </c>
      <c r="F677" s="29" t="s">
        <v>577</v>
      </c>
    </row>
    <row r="678" spans="1:6" x14ac:dyDescent="0.3">
      <c r="A678" s="30" t="s">
        <v>383</v>
      </c>
      <c r="B678" s="38" t="s">
        <v>480</v>
      </c>
      <c r="C678" s="31">
        <v>4.9000000000000004</v>
      </c>
      <c r="D678">
        <f t="shared" si="11"/>
        <v>999999999</v>
      </c>
      <c r="E678">
        <v>78</v>
      </c>
      <c r="F678" s="29" t="s">
        <v>577</v>
      </c>
    </row>
    <row r="679" spans="1:6" x14ac:dyDescent="0.3">
      <c r="A679" s="30" t="s">
        <v>432</v>
      </c>
      <c r="B679" s="38" t="s">
        <v>500</v>
      </c>
      <c r="C679" s="31">
        <v>2</v>
      </c>
      <c r="D679">
        <f t="shared" si="11"/>
        <v>999999999</v>
      </c>
      <c r="E679">
        <v>79</v>
      </c>
      <c r="F679" s="29" t="s">
        <v>577</v>
      </c>
    </row>
    <row r="680" spans="1:6" x14ac:dyDescent="0.3">
      <c r="A680" s="30" t="s">
        <v>432</v>
      </c>
      <c r="B680" s="38" t="s">
        <v>499</v>
      </c>
      <c r="C680" s="31">
        <v>5.4</v>
      </c>
      <c r="D680">
        <f t="shared" si="11"/>
        <v>999999999</v>
      </c>
      <c r="E680">
        <v>79</v>
      </c>
      <c r="F680" s="29" t="s">
        <v>577</v>
      </c>
    </row>
    <row r="681" spans="1:6" x14ac:dyDescent="0.3">
      <c r="A681" s="30" t="s">
        <v>432</v>
      </c>
      <c r="B681" s="38" t="s">
        <v>501</v>
      </c>
      <c r="C681" s="31">
        <v>9.5</v>
      </c>
      <c r="D681">
        <f t="shared" si="11"/>
        <v>999999999</v>
      </c>
      <c r="E681">
        <v>79</v>
      </c>
      <c r="F681" s="29" t="s">
        <v>577</v>
      </c>
    </row>
    <row r="682" spans="1:6" x14ac:dyDescent="0.3">
      <c r="A682" s="30" t="s">
        <v>433</v>
      </c>
      <c r="B682" s="38" t="s">
        <v>506</v>
      </c>
      <c r="C682" s="31">
        <v>1</v>
      </c>
      <c r="D682">
        <f t="shared" si="11"/>
        <v>1000000</v>
      </c>
      <c r="E682">
        <v>80</v>
      </c>
      <c r="F682" s="29"/>
    </row>
    <row r="683" spans="1:6" x14ac:dyDescent="0.3">
      <c r="A683" s="30" t="s">
        <v>433</v>
      </c>
      <c r="B683" s="38" t="s">
        <v>502</v>
      </c>
      <c r="C683" s="31">
        <v>2.5</v>
      </c>
      <c r="D683">
        <f t="shared" si="11"/>
        <v>1000000</v>
      </c>
      <c r="E683">
        <v>80</v>
      </c>
      <c r="F683" s="29"/>
    </row>
    <row r="684" spans="1:6" x14ac:dyDescent="0.3">
      <c r="A684" s="30" t="s">
        <v>433</v>
      </c>
      <c r="B684" s="38" t="s">
        <v>503</v>
      </c>
      <c r="C684" s="31">
        <v>2.5</v>
      </c>
      <c r="D684">
        <f t="shared" si="11"/>
        <v>1000000</v>
      </c>
      <c r="E684">
        <v>80</v>
      </c>
      <c r="F684" s="29"/>
    </row>
    <row r="685" spans="1:6" x14ac:dyDescent="0.3">
      <c r="A685" s="30" t="s">
        <v>433</v>
      </c>
      <c r="B685" s="38" t="s">
        <v>504</v>
      </c>
      <c r="C685" s="31">
        <v>6.3</v>
      </c>
      <c r="D685">
        <f t="shared" si="11"/>
        <v>1000000</v>
      </c>
      <c r="E685">
        <v>80</v>
      </c>
      <c r="F685" s="29"/>
    </row>
    <row r="686" spans="1:6" x14ac:dyDescent="0.3">
      <c r="A686" s="30" t="s">
        <v>433</v>
      </c>
      <c r="B686" s="38" t="s">
        <v>505</v>
      </c>
      <c r="C686" s="31">
        <v>6.3</v>
      </c>
      <c r="D686">
        <f t="shared" si="11"/>
        <v>1000000</v>
      </c>
      <c r="E686">
        <v>80</v>
      </c>
      <c r="F686" s="29"/>
    </row>
    <row r="687" spans="1:6" x14ac:dyDescent="0.3">
      <c r="A687" s="30" t="s">
        <v>434</v>
      </c>
      <c r="B687" s="38" t="s">
        <v>511</v>
      </c>
      <c r="C687" s="31">
        <v>0.5</v>
      </c>
      <c r="D687">
        <f t="shared" si="11"/>
        <v>1000000</v>
      </c>
      <c r="E687">
        <v>81</v>
      </c>
      <c r="F687" s="29"/>
    </row>
    <row r="688" spans="1:6" x14ac:dyDescent="0.3">
      <c r="A688" s="30" t="s">
        <v>434</v>
      </c>
      <c r="B688" s="38" t="s">
        <v>508</v>
      </c>
      <c r="C688" s="31">
        <v>2.8</v>
      </c>
      <c r="D688">
        <f t="shared" si="11"/>
        <v>1000000</v>
      </c>
      <c r="E688">
        <v>81</v>
      </c>
      <c r="F688" s="29"/>
    </row>
    <row r="689" spans="1:6" x14ac:dyDescent="0.3">
      <c r="A689" s="30" t="s">
        <v>434</v>
      </c>
      <c r="B689" s="38" t="s">
        <v>508</v>
      </c>
      <c r="C689" s="31">
        <v>3.1</v>
      </c>
      <c r="D689">
        <f t="shared" si="11"/>
        <v>1000000</v>
      </c>
      <c r="E689">
        <v>81</v>
      </c>
      <c r="F689" s="29"/>
    </row>
    <row r="690" spans="1:6" x14ac:dyDescent="0.3">
      <c r="A690" s="30" t="s">
        <v>434</v>
      </c>
      <c r="B690" s="38" t="s">
        <v>509</v>
      </c>
      <c r="C690" s="31">
        <v>3.1</v>
      </c>
      <c r="D690">
        <f t="shared" si="11"/>
        <v>1000000</v>
      </c>
      <c r="E690">
        <v>81</v>
      </c>
      <c r="F690" s="29"/>
    </row>
    <row r="691" spans="1:6" x14ac:dyDescent="0.3">
      <c r="A691" s="30" t="s">
        <v>434</v>
      </c>
      <c r="B691" s="38" t="s">
        <v>510</v>
      </c>
      <c r="C691" s="31">
        <v>3.1</v>
      </c>
      <c r="D691">
        <f t="shared" si="11"/>
        <v>1000000</v>
      </c>
      <c r="E691">
        <v>81</v>
      </c>
      <c r="F691" s="29"/>
    </row>
    <row r="692" spans="1:6" x14ac:dyDescent="0.3">
      <c r="A692" s="30" t="s">
        <v>434</v>
      </c>
      <c r="B692" s="38" t="s">
        <v>507</v>
      </c>
      <c r="C692" s="31">
        <v>3.1</v>
      </c>
      <c r="D692">
        <f t="shared" si="11"/>
        <v>1000000</v>
      </c>
      <c r="E692">
        <v>81</v>
      </c>
      <c r="F692" s="29"/>
    </row>
    <row r="693" spans="1:6" x14ac:dyDescent="0.3">
      <c r="A693" s="30" t="s">
        <v>434</v>
      </c>
      <c r="B693" s="38" t="s">
        <v>509</v>
      </c>
      <c r="C693" s="31">
        <v>3.1</v>
      </c>
      <c r="D693">
        <f t="shared" si="11"/>
        <v>1000000</v>
      </c>
      <c r="E693">
        <v>81</v>
      </c>
      <c r="F693" s="29"/>
    </row>
    <row r="694" spans="1:6" x14ac:dyDescent="0.3">
      <c r="A694" s="30" t="s">
        <v>434</v>
      </c>
      <c r="B694" s="38" t="s">
        <v>510</v>
      </c>
      <c r="C694" s="31">
        <v>3.1</v>
      </c>
      <c r="D694">
        <f t="shared" si="11"/>
        <v>1000000</v>
      </c>
      <c r="E694">
        <v>81</v>
      </c>
      <c r="F694" s="29"/>
    </row>
    <row r="695" spans="1:6" x14ac:dyDescent="0.3">
      <c r="A695" s="30" t="s">
        <v>434</v>
      </c>
      <c r="B695" s="38" t="s">
        <v>507</v>
      </c>
      <c r="C695" s="31">
        <v>3.5</v>
      </c>
      <c r="D695">
        <f t="shared" si="11"/>
        <v>1000000</v>
      </c>
      <c r="E695">
        <v>81</v>
      </c>
      <c r="F695" s="29"/>
    </row>
    <row r="696" spans="1:6" x14ac:dyDescent="0.3">
      <c r="A696" s="30" t="s">
        <v>434</v>
      </c>
      <c r="B696" s="38" t="s">
        <v>511</v>
      </c>
      <c r="C696" s="31">
        <v>5.0999999999999996</v>
      </c>
      <c r="D696">
        <f t="shared" si="11"/>
        <v>1000000</v>
      </c>
      <c r="E696">
        <v>81</v>
      </c>
      <c r="F696" s="29"/>
    </row>
    <row r="697" spans="1:6" x14ac:dyDescent="0.3">
      <c r="A697" s="30" t="s">
        <v>435</v>
      </c>
      <c r="B697" s="38" t="s">
        <v>512</v>
      </c>
      <c r="C697" s="31">
        <v>2.5</v>
      </c>
      <c r="D697">
        <f t="shared" si="11"/>
        <v>999999999</v>
      </c>
      <c r="E697">
        <v>82</v>
      </c>
      <c r="F697" s="29" t="s">
        <v>577</v>
      </c>
    </row>
    <row r="698" spans="1:6" x14ac:dyDescent="0.3">
      <c r="A698" s="30" t="s">
        <v>435</v>
      </c>
      <c r="B698" s="38" t="s">
        <v>513</v>
      </c>
      <c r="C698" s="31">
        <v>3.2</v>
      </c>
      <c r="D698">
        <f t="shared" si="11"/>
        <v>999999999</v>
      </c>
      <c r="E698">
        <v>82</v>
      </c>
      <c r="F698" s="29" t="s">
        <v>577</v>
      </c>
    </row>
    <row r="699" spans="1:6" x14ac:dyDescent="0.3">
      <c r="A699" s="30" t="s">
        <v>435</v>
      </c>
      <c r="B699" s="38" t="s">
        <v>514</v>
      </c>
      <c r="C699" s="31">
        <v>3.2</v>
      </c>
      <c r="D699">
        <f t="shared" si="11"/>
        <v>999999999</v>
      </c>
      <c r="E699">
        <v>82</v>
      </c>
      <c r="F699" s="29" t="s">
        <v>577</v>
      </c>
    </row>
    <row r="700" spans="1:6" x14ac:dyDescent="0.3">
      <c r="A700" s="30" t="s">
        <v>435</v>
      </c>
      <c r="B700" s="38" t="s">
        <v>515</v>
      </c>
      <c r="C700" s="31">
        <v>3.2</v>
      </c>
      <c r="D700">
        <f t="shared" si="11"/>
        <v>999999999</v>
      </c>
      <c r="E700">
        <v>82</v>
      </c>
      <c r="F700" s="29" t="s">
        <v>577</v>
      </c>
    </row>
    <row r="701" spans="1:6" x14ac:dyDescent="0.3">
      <c r="A701" s="30" t="s">
        <v>435</v>
      </c>
      <c r="B701" s="38" t="s">
        <v>516</v>
      </c>
      <c r="C701" s="31">
        <v>3.2</v>
      </c>
      <c r="D701">
        <f t="shared" si="11"/>
        <v>999999999</v>
      </c>
      <c r="E701">
        <v>82</v>
      </c>
      <c r="F701" s="29" t="s">
        <v>577</v>
      </c>
    </row>
    <row r="702" spans="1:6" x14ac:dyDescent="0.3">
      <c r="A702" s="30" t="s">
        <v>435</v>
      </c>
      <c r="B702" s="38" t="s">
        <v>517</v>
      </c>
      <c r="C702" s="31">
        <v>3.8</v>
      </c>
      <c r="D702">
        <f t="shared" si="11"/>
        <v>999999999</v>
      </c>
      <c r="E702">
        <v>82</v>
      </c>
      <c r="F702" s="29" t="s">
        <v>577</v>
      </c>
    </row>
    <row r="703" spans="1:6" x14ac:dyDescent="0.3">
      <c r="A703" s="30" t="s">
        <v>436</v>
      </c>
      <c r="B703" s="38" t="s">
        <v>527</v>
      </c>
      <c r="C703" s="31">
        <v>1.1000000000000001</v>
      </c>
      <c r="D703">
        <f t="shared" si="11"/>
        <v>999999999</v>
      </c>
      <c r="E703">
        <v>83</v>
      </c>
      <c r="F703" s="29" t="s">
        <v>577</v>
      </c>
    </row>
    <row r="704" spans="1:6" x14ac:dyDescent="0.3">
      <c r="A704" s="30" t="s">
        <v>436</v>
      </c>
      <c r="B704" s="38" t="s">
        <v>519</v>
      </c>
      <c r="C704" s="31">
        <v>2.1</v>
      </c>
      <c r="D704">
        <f t="shared" si="11"/>
        <v>999999999</v>
      </c>
      <c r="E704">
        <v>83</v>
      </c>
      <c r="F704" s="29" t="s">
        <v>577</v>
      </c>
    </row>
    <row r="705" spans="1:6" x14ac:dyDescent="0.3">
      <c r="A705" s="30" t="s">
        <v>436</v>
      </c>
      <c r="B705" s="38" t="s">
        <v>520</v>
      </c>
      <c r="C705" s="31">
        <v>2.1</v>
      </c>
      <c r="D705">
        <f t="shared" si="11"/>
        <v>999999999</v>
      </c>
      <c r="E705">
        <v>83</v>
      </c>
      <c r="F705" s="29" t="s">
        <v>577</v>
      </c>
    </row>
    <row r="706" spans="1:6" x14ac:dyDescent="0.3">
      <c r="A706" s="30" t="s">
        <v>436</v>
      </c>
      <c r="B706" s="38" t="s">
        <v>518</v>
      </c>
      <c r="C706" s="31">
        <v>2.5</v>
      </c>
      <c r="D706">
        <f t="shared" si="11"/>
        <v>999999999</v>
      </c>
      <c r="E706">
        <v>83</v>
      </c>
      <c r="F706" s="29" t="s">
        <v>577</v>
      </c>
    </row>
    <row r="707" spans="1:6" x14ac:dyDescent="0.3">
      <c r="A707" s="30" t="s">
        <v>436</v>
      </c>
      <c r="B707" s="38" t="s">
        <v>522</v>
      </c>
      <c r="C707" s="31">
        <v>2.8</v>
      </c>
      <c r="D707">
        <f t="shared" si="11"/>
        <v>999999999</v>
      </c>
      <c r="E707">
        <v>83</v>
      </c>
      <c r="F707" s="29" t="s">
        <v>577</v>
      </c>
    </row>
    <row r="708" spans="1:6" x14ac:dyDescent="0.3">
      <c r="A708" s="30" t="s">
        <v>436</v>
      </c>
      <c r="B708" s="38" t="s">
        <v>524</v>
      </c>
      <c r="C708" s="31">
        <v>2.8</v>
      </c>
      <c r="D708">
        <f t="shared" si="11"/>
        <v>999999999</v>
      </c>
      <c r="E708">
        <v>83</v>
      </c>
      <c r="F708" s="29" t="s">
        <v>577</v>
      </c>
    </row>
    <row r="709" spans="1:6" x14ac:dyDescent="0.3">
      <c r="A709" s="30" t="s">
        <v>436</v>
      </c>
      <c r="B709" s="38" t="s">
        <v>526</v>
      </c>
      <c r="C709" s="31">
        <v>3.1</v>
      </c>
      <c r="D709">
        <f t="shared" si="11"/>
        <v>999999999</v>
      </c>
      <c r="E709">
        <v>83</v>
      </c>
      <c r="F709" s="29" t="s">
        <v>577</v>
      </c>
    </row>
    <row r="710" spans="1:6" x14ac:dyDescent="0.3">
      <c r="A710" s="30" t="s">
        <v>436</v>
      </c>
      <c r="B710" s="38" t="s">
        <v>521</v>
      </c>
      <c r="C710" s="31">
        <v>3.2</v>
      </c>
      <c r="D710">
        <f t="shared" si="11"/>
        <v>999999999</v>
      </c>
      <c r="E710">
        <v>83</v>
      </c>
      <c r="F710" s="29" t="s">
        <v>577</v>
      </c>
    </row>
    <row r="711" spans="1:6" x14ac:dyDescent="0.3">
      <c r="A711" s="30" t="s">
        <v>436</v>
      </c>
      <c r="B711" s="38" t="s">
        <v>525</v>
      </c>
      <c r="C711" s="31">
        <v>3.2</v>
      </c>
      <c r="D711">
        <f t="shared" si="11"/>
        <v>999999999</v>
      </c>
      <c r="E711">
        <v>83</v>
      </c>
      <c r="F711" s="29" t="s">
        <v>577</v>
      </c>
    </row>
    <row r="712" spans="1:6" x14ac:dyDescent="0.3">
      <c r="A712" s="30" t="s">
        <v>436</v>
      </c>
      <c r="B712" s="38" t="s">
        <v>523</v>
      </c>
      <c r="C712" s="31">
        <v>3.9</v>
      </c>
      <c r="D712">
        <f t="shared" si="11"/>
        <v>999999999</v>
      </c>
      <c r="E712">
        <v>83</v>
      </c>
      <c r="F712" s="29" t="s">
        <v>577</v>
      </c>
    </row>
    <row r="713" spans="1:6" x14ac:dyDescent="0.3">
      <c r="A713" s="30" t="s">
        <v>437</v>
      </c>
      <c r="B713" s="38" t="s">
        <v>534</v>
      </c>
      <c r="C713" s="31">
        <v>0.5</v>
      </c>
      <c r="D713">
        <f t="shared" ref="D713:D776" si="12">IF(F713="Sabit",999999999,1000000)</f>
        <v>999999999</v>
      </c>
      <c r="E713">
        <v>84</v>
      </c>
      <c r="F713" s="29" t="s">
        <v>577</v>
      </c>
    </row>
    <row r="714" spans="1:6" x14ac:dyDescent="0.3">
      <c r="A714" s="30" t="s">
        <v>437</v>
      </c>
      <c r="B714" s="38" t="s">
        <v>535</v>
      </c>
      <c r="C714" s="31">
        <v>0.5</v>
      </c>
      <c r="D714">
        <f t="shared" si="12"/>
        <v>999999999</v>
      </c>
      <c r="E714">
        <v>84</v>
      </c>
      <c r="F714" s="29" t="s">
        <v>577</v>
      </c>
    </row>
    <row r="715" spans="1:6" x14ac:dyDescent="0.3">
      <c r="A715" s="30" t="s">
        <v>437</v>
      </c>
      <c r="B715" s="38" t="s">
        <v>536</v>
      </c>
      <c r="C715" s="31">
        <v>1</v>
      </c>
      <c r="D715">
        <f t="shared" si="12"/>
        <v>999999999</v>
      </c>
      <c r="E715">
        <v>84</v>
      </c>
      <c r="F715" s="29" t="s">
        <v>577</v>
      </c>
    </row>
    <row r="716" spans="1:6" x14ac:dyDescent="0.3">
      <c r="A716" s="30" t="s">
        <v>437</v>
      </c>
      <c r="B716" s="38" t="s">
        <v>533</v>
      </c>
      <c r="C716" s="31">
        <v>1.3</v>
      </c>
      <c r="D716">
        <f t="shared" si="12"/>
        <v>999999999</v>
      </c>
      <c r="E716">
        <v>84</v>
      </c>
      <c r="F716" s="29" t="s">
        <v>577</v>
      </c>
    </row>
    <row r="717" spans="1:6" x14ac:dyDescent="0.3">
      <c r="A717" s="30" t="s">
        <v>437</v>
      </c>
      <c r="B717" s="38" t="s">
        <v>529</v>
      </c>
      <c r="C717" s="31">
        <v>1.8</v>
      </c>
      <c r="D717">
        <f t="shared" si="12"/>
        <v>999999999</v>
      </c>
      <c r="E717">
        <v>84</v>
      </c>
      <c r="F717" s="29" t="s">
        <v>577</v>
      </c>
    </row>
    <row r="718" spans="1:6" x14ac:dyDescent="0.3">
      <c r="A718" s="30" t="s">
        <v>437</v>
      </c>
      <c r="B718" s="38" t="s">
        <v>531</v>
      </c>
      <c r="C718" s="31">
        <v>1.8</v>
      </c>
      <c r="D718">
        <f t="shared" si="12"/>
        <v>999999999</v>
      </c>
      <c r="E718">
        <v>84</v>
      </c>
      <c r="F718" s="29" t="s">
        <v>577</v>
      </c>
    </row>
    <row r="719" spans="1:6" x14ac:dyDescent="0.3">
      <c r="A719" s="30" t="s">
        <v>437</v>
      </c>
      <c r="B719" s="38" t="s">
        <v>530</v>
      </c>
      <c r="C719" s="31">
        <v>2</v>
      </c>
      <c r="D719">
        <f t="shared" si="12"/>
        <v>999999999</v>
      </c>
      <c r="E719">
        <v>84</v>
      </c>
      <c r="F719" s="29" t="s">
        <v>577</v>
      </c>
    </row>
    <row r="720" spans="1:6" x14ac:dyDescent="0.3">
      <c r="A720" s="30" t="s">
        <v>437</v>
      </c>
      <c r="B720" s="38" t="s">
        <v>528</v>
      </c>
      <c r="C720" s="31">
        <v>2.5</v>
      </c>
      <c r="D720">
        <f t="shared" si="12"/>
        <v>999999999</v>
      </c>
      <c r="E720">
        <v>84</v>
      </c>
      <c r="F720" s="29" t="s">
        <v>577</v>
      </c>
    </row>
    <row r="721" spans="1:6" x14ac:dyDescent="0.3">
      <c r="A721" s="30" t="s">
        <v>437</v>
      </c>
      <c r="B721" s="38" t="s">
        <v>532</v>
      </c>
      <c r="C721" s="31">
        <v>4</v>
      </c>
      <c r="D721">
        <f t="shared" si="12"/>
        <v>999999999</v>
      </c>
      <c r="E721">
        <v>84</v>
      </c>
      <c r="F721" s="29" t="s">
        <v>577</v>
      </c>
    </row>
    <row r="722" spans="1:6" x14ac:dyDescent="0.3">
      <c r="A722" s="27" t="s">
        <v>438</v>
      </c>
      <c r="B722" s="27" t="s">
        <v>447</v>
      </c>
      <c r="C722" s="28">
        <v>1</v>
      </c>
      <c r="D722">
        <f t="shared" si="12"/>
        <v>999999999</v>
      </c>
      <c r="E722">
        <v>85</v>
      </c>
      <c r="F722" s="26" t="s">
        <v>577</v>
      </c>
    </row>
    <row r="723" spans="1:6" x14ac:dyDescent="0.3">
      <c r="A723" s="27" t="s">
        <v>438</v>
      </c>
      <c r="B723" s="27" t="s">
        <v>441</v>
      </c>
      <c r="C723" s="28">
        <v>2.8</v>
      </c>
      <c r="D723">
        <f t="shared" si="12"/>
        <v>999999999</v>
      </c>
      <c r="E723">
        <v>85</v>
      </c>
      <c r="F723" s="26" t="s">
        <v>577</v>
      </c>
    </row>
    <row r="724" spans="1:6" x14ac:dyDescent="0.3">
      <c r="A724" s="27" t="s">
        <v>438</v>
      </c>
      <c r="B724" s="27" t="s">
        <v>442</v>
      </c>
      <c r="C724" s="28">
        <v>2.8</v>
      </c>
      <c r="D724">
        <f t="shared" si="12"/>
        <v>999999999</v>
      </c>
      <c r="E724">
        <v>85</v>
      </c>
      <c r="F724" s="26" t="s">
        <v>577</v>
      </c>
    </row>
    <row r="725" spans="1:6" x14ac:dyDescent="0.3">
      <c r="A725" s="27" t="s">
        <v>438</v>
      </c>
      <c r="B725" s="27" t="s">
        <v>443</v>
      </c>
      <c r="C725" s="28">
        <v>3.1</v>
      </c>
      <c r="D725">
        <f t="shared" si="12"/>
        <v>999999999</v>
      </c>
      <c r="E725">
        <v>85</v>
      </c>
      <c r="F725" s="26" t="s">
        <v>577</v>
      </c>
    </row>
    <row r="726" spans="1:6" x14ac:dyDescent="0.3">
      <c r="A726" s="27" t="s">
        <v>438</v>
      </c>
      <c r="B726" s="27" t="s">
        <v>446</v>
      </c>
      <c r="C726" s="28">
        <v>3.2</v>
      </c>
      <c r="D726">
        <f t="shared" si="12"/>
        <v>999999999</v>
      </c>
      <c r="E726">
        <v>85</v>
      </c>
      <c r="F726" s="26" t="s">
        <v>577</v>
      </c>
    </row>
    <row r="727" spans="1:6" x14ac:dyDescent="0.3">
      <c r="A727" s="27" t="s">
        <v>438</v>
      </c>
      <c r="B727" s="27" t="s">
        <v>440</v>
      </c>
      <c r="C727" s="28">
        <v>3.8</v>
      </c>
      <c r="D727">
        <f t="shared" si="12"/>
        <v>999999999</v>
      </c>
      <c r="E727">
        <v>85</v>
      </c>
      <c r="F727" s="26" t="s">
        <v>577</v>
      </c>
    </row>
    <row r="728" spans="1:6" x14ac:dyDescent="0.3">
      <c r="A728" s="27" t="s">
        <v>438</v>
      </c>
      <c r="B728" s="27" t="s">
        <v>445</v>
      </c>
      <c r="C728" s="28">
        <v>4.0999999999999996</v>
      </c>
      <c r="D728">
        <f t="shared" si="12"/>
        <v>999999999</v>
      </c>
      <c r="E728">
        <v>85</v>
      </c>
      <c r="F728" s="26" t="s">
        <v>577</v>
      </c>
    </row>
    <row r="729" spans="1:6" x14ac:dyDescent="0.3">
      <c r="A729" s="27" t="s">
        <v>438</v>
      </c>
      <c r="B729" s="27" t="s">
        <v>444</v>
      </c>
      <c r="C729" s="28">
        <v>4.3</v>
      </c>
      <c r="D729">
        <f t="shared" si="12"/>
        <v>999999999</v>
      </c>
      <c r="E729">
        <v>85</v>
      </c>
      <c r="F729" s="26" t="s">
        <v>577</v>
      </c>
    </row>
    <row r="730" spans="1:6" x14ac:dyDescent="0.3">
      <c r="A730" s="27" t="s">
        <v>438</v>
      </c>
      <c r="B730" s="27" t="s">
        <v>439</v>
      </c>
      <c r="C730" s="28">
        <v>6.1</v>
      </c>
      <c r="D730">
        <f t="shared" si="12"/>
        <v>999999999</v>
      </c>
      <c r="E730">
        <v>85</v>
      </c>
      <c r="F730" s="26" t="s">
        <v>577</v>
      </c>
    </row>
    <row r="731" spans="1:6" x14ac:dyDescent="0.3">
      <c r="A731" s="27" t="s">
        <v>448</v>
      </c>
      <c r="B731" s="27" t="s">
        <v>449</v>
      </c>
      <c r="C731" s="28">
        <v>12.5</v>
      </c>
      <c r="D731">
        <f t="shared" si="12"/>
        <v>1000000</v>
      </c>
      <c r="E731">
        <v>86</v>
      </c>
      <c r="F731" s="26"/>
    </row>
    <row r="732" spans="1:6" x14ac:dyDescent="0.3">
      <c r="A732" s="38" t="s">
        <v>539</v>
      </c>
      <c r="B732" s="38" t="s">
        <v>540</v>
      </c>
      <c r="C732" s="28">
        <v>3.6</v>
      </c>
      <c r="D732">
        <f t="shared" si="12"/>
        <v>1000000</v>
      </c>
      <c r="E732">
        <v>87</v>
      </c>
      <c r="F732" s="26"/>
    </row>
    <row r="733" spans="1:6" x14ac:dyDescent="0.3">
      <c r="A733" s="38" t="s">
        <v>539</v>
      </c>
      <c r="B733" s="38" t="s">
        <v>542</v>
      </c>
      <c r="C733" s="28">
        <v>3.6</v>
      </c>
      <c r="D733">
        <f t="shared" si="12"/>
        <v>1000000</v>
      </c>
      <c r="E733">
        <v>87</v>
      </c>
      <c r="F733" s="26"/>
    </row>
    <row r="734" spans="1:6" x14ac:dyDescent="0.3">
      <c r="A734" s="38" t="s">
        <v>539</v>
      </c>
      <c r="B734" s="38" t="s">
        <v>541</v>
      </c>
      <c r="C734" s="28">
        <v>8.5</v>
      </c>
      <c r="D734">
        <f t="shared" si="12"/>
        <v>1000000</v>
      </c>
      <c r="E734">
        <v>87</v>
      </c>
      <c r="F734" s="26"/>
    </row>
    <row r="735" spans="1:6" x14ac:dyDescent="0.3">
      <c r="A735" s="38" t="s">
        <v>539</v>
      </c>
      <c r="B735" s="38" t="s">
        <v>543</v>
      </c>
      <c r="C735" s="28">
        <v>8.5</v>
      </c>
      <c r="D735">
        <f t="shared" si="12"/>
        <v>1000000</v>
      </c>
      <c r="E735">
        <v>87</v>
      </c>
      <c r="F735" s="26"/>
    </row>
    <row r="736" spans="1:6" x14ac:dyDescent="0.3">
      <c r="A736" s="37" t="s">
        <v>537</v>
      </c>
      <c r="B736" s="37" t="s">
        <v>538</v>
      </c>
      <c r="C736" s="28">
        <v>9.5</v>
      </c>
      <c r="D736">
        <f t="shared" si="12"/>
        <v>1000000</v>
      </c>
      <c r="E736">
        <v>87</v>
      </c>
      <c r="F736" s="26"/>
    </row>
    <row r="737" spans="1:6" x14ac:dyDescent="0.3">
      <c r="A737" s="27" t="s">
        <v>450</v>
      </c>
      <c r="B737" s="27" t="s">
        <v>455</v>
      </c>
      <c r="C737" s="28">
        <v>3.1</v>
      </c>
      <c r="D737">
        <f t="shared" si="12"/>
        <v>1000000</v>
      </c>
      <c r="E737">
        <v>88</v>
      </c>
      <c r="F737" s="26"/>
    </row>
    <row r="738" spans="1:6" x14ac:dyDescent="0.3">
      <c r="A738" s="27" t="s">
        <v>450</v>
      </c>
      <c r="B738" s="27" t="s">
        <v>456</v>
      </c>
      <c r="C738" s="28">
        <v>3.1</v>
      </c>
      <c r="D738">
        <f t="shared" si="12"/>
        <v>1000000</v>
      </c>
      <c r="E738">
        <v>88</v>
      </c>
      <c r="F738" s="26"/>
    </row>
    <row r="739" spans="1:6" x14ac:dyDescent="0.3">
      <c r="A739" s="27" t="s">
        <v>450</v>
      </c>
      <c r="B739" s="27" t="s">
        <v>451</v>
      </c>
      <c r="C739" s="28">
        <v>3.2</v>
      </c>
      <c r="D739">
        <f t="shared" si="12"/>
        <v>1000000</v>
      </c>
      <c r="E739">
        <v>88</v>
      </c>
      <c r="F739" s="26"/>
    </row>
    <row r="740" spans="1:6" x14ac:dyDescent="0.3">
      <c r="A740" s="27" t="s">
        <v>450</v>
      </c>
      <c r="B740" s="27" t="s">
        <v>452</v>
      </c>
      <c r="C740" s="28">
        <v>3.2</v>
      </c>
      <c r="D740">
        <f t="shared" si="12"/>
        <v>1000000</v>
      </c>
      <c r="E740">
        <v>88</v>
      </c>
      <c r="F740" s="26"/>
    </row>
    <row r="741" spans="1:6" x14ac:dyDescent="0.3">
      <c r="A741" s="27" t="s">
        <v>450</v>
      </c>
      <c r="B741" s="27" t="s">
        <v>453</v>
      </c>
      <c r="C741" s="28">
        <v>3.8</v>
      </c>
      <c r="D741">
        <f t="shared" si="12"/>
        <v>1000000</v>
      </c>
      <c r="E741">
        <v>88</v>
      </c>
      <c r="F741" s="26"/>
    </row>
    <row r="742" spans="1:6" x14ac:dyDescent="0.3">
      <c r="A742" s="27" t="s">
        <v>450</v>
      </c>
      <c r="B742" s="27" t="s">
        <v>454</v>
      </c>
      <c r="C742" s="28">
        <v>3.8</v>
      </c>
      <c r="D742">
        <f t="shared" si="12"/>
        <v>1000000</v>
      </c>
      <c r="E742">
        <v>88</v>
      </c>
      <c r="F742" s="26"/>
    </row>
    <row r="743" spans="1:6" x14ac:dyDescent="0.3">
      <c r="A743" s="30" t="s">
        <v>457</v>
      </c>
      <c r="B743" s="38" t="s">
        <v>546</v>
      </c>
      <c r="C743" s="31">
        <v>0.5</v>
      </c>
      <c r="D743">
        <f t="shared" si="12"/>
        <v>999999999</v>
      </c>
      <c r="E743">
        <v>89</v>
      </c>
      <c r="F743" s="29" t="s">
        <v>577</v>
      </c>
    </row>
    <row r="744" spans="1:6" x14ac:dyDescent="0.3">
      <c r="A744" s="30" t="s">
        <v>457</v>
      </c>
      <c r="B744" s="38" t="s">
        <v>545</v>
      </c>
      <c r="C744" s="31">
        <v>3.6</v>
      </c>
      <c r="D744">
        <f t="shared" si="12"/>
        <v>999999999</v>
      </c>
      <c r="E744">
        <v>89</v>
      </c>
      <c r="F744" s="29" t="s">
        <v>577</v>
      </c>
    </row>
    <row r="745" spans="1:6" x14ac:dyDescent="0.3">
      <c r="A745" s="30" t="s">
        <v>457</v>
      </c>
      <c r="B745" s="38" t="s">
        <v>548</v>
      </c>
      <c r="C745" s="31">
        <v>3.6</v>
      </c>
      <c r="D745">
        <f t="shared" si="12"/>
        <v>999999999</v>
      </c>
      <c r="E745">
        <v>89</v>
      </c>
      <c r="F745" s="29" t="s">
        <v>577</v>
      </c>
    </row>
    <row r="746" spans="1:6" x14ac:dyDescent="0.3">
      <c r="A746" s="30" t="s">
        <v>457</v>
      </c>
      <c r="B746" s="38" t="s">
        <v>549</v>
      </c>
      <c r="C746" s="31">
        <v>3.6</v>
      </c>
      <c r="D746">
        <f t="shared" si="12"/>
        <v>999999999</v>
      </c>
      <c r="E746">
        <v>89</v>
      </c>
      <c r="F746" s="29" t="s">
        <v>577</v>
      </c>
    </row>
    <row r="747" spans="1:6" x14ac:dyDescent="0.3">
      <c r="A747" s="30" t="s">
        <v>457</v>
      </c>
      <c r="B747" s="38" t="s">
        <v>544</v>
      </c>
      <c r="C747" s="31">
        <v>5.9</v>
      </c>
      <c r="D747">
        <f t="shared" si="12"/>
        <v>999999999</v>
      </c>
      <c r="E747">
        <v>89</v>
      </c>
      <c r="F747" s="29" t="s">
        <v>577</v>
      </c>
    </row>
    <row r="748" spans="1:6" x14ac:dyDescent="0.3">
      <c r="A748" s="30" t="s">
        <v>457</v>
      </c>
      <c r="B748" s="38" t="s">
        <v>547</v>
      </c>
      <c r="C748" s="31">
        <v>5.9</v>
      </c>
      <c r="D748">
        <f t="shared" si="12"/>
        <v>999999999</v>
      </c>
      <c r="E748">
        <v>89</v>
      </c>
      <c r="F748" s="29" t="s">
        <v>577</v>
      </c>
    </row>
    <row r="749" spans="1:6" x14ac:dyDescent="0.3">
      <c r="A749" s="30" t="s">
        <v>458</v>
      </c>
      <c r="B749" s="38" t="s">
        <v>552</v>
      </c>
      <c r="C749" s="31">
        <v>3.1</v>
      </c>
      <c r="D749">
        <f t="shared" si="12"/>
        <v>999999999</v>
      </c>
      <c r="E749">
        <v>90</v>
      </c>
      <c r="F749" s="29" t="s">
        <v>577</v>
      </c>
    </row>
    <row r="750" spans="1:6" x14ac:dyDescent="0.3">
      <c r="A750" s="30" t="s">
        <v>458</v>
      </c>
      <c r="B750" s="38" t="s">
        <v>550</v>
      </c>
      <c r="C750" s="31">
        <v>4.2</v>
      </c>
      <c r="D750">
        <f t="shared" si="12"/>
        <v>999999999</v>
      </c>
      <c r="E750">
        <v>90</v>
      </c>
      <c r="F750" s="29" t="s">
        <v>577</v>
      </c>
    </row>
    <row r="751" spans="1:6" x14ac:dyDescent="0.3">
      <c r="A751" s="30" t="s">
        <v>458</v>
      </c>
      <c r="B751" s="38" t="s">
        <v>551</v>
      </c>
      <c r="C751" s="31">
        <v>4.2</v>
      </c>
      <c r="D751">
        <f t="shared" si="12"/>
        <v>999999999</v>
      </c>
      <c r="E751">
        <v>90</v>
      </c>
      <c r="F751" s="29" t="s">
        <v>577</v>
      </c>
    </row>
    <row r="752" spans="1:6" x14ac:dyDescent="0.3">
      <c r="A752" s="30" t="s">
        <v>459</v>
      </c>
      <c r="B752" s="38" t="s">
        <v>556</v>
      </c>
      <c r="C752" s="31">
        <v>0.5</v>
      </c>
      <c r="D752">
        <f t="shared" si="12"/>
        <v>999999999</v>
      </c>
      <c r="E752">
        <v>91</v>
      </c>
      <c r="F752" s="29" t="s">
        <v>577</v>
      </c>
    </row>
    <row r="753" spans="1:6" x14ac:dyDescent="0.3">
      <c r="A753" s="30" t="s">
        <v>459</v>
      </c>
      <c r="B753" s="38" t="s">
        <v>554</v>
      </c>
      <c r="C753" s="31">
        <v>1.8</v>
      </c>
      <c r="D753">
        <f t="shared" si="12"/>
        <v>999999999</v>
      </c>
      <c r="E753">
        <v>91</v>
      </c>
      <c r="F753" s="29" t="s">
        <v>577</v>
      </c>
    </row>
    <row r="754" spans="1:6" x14ac:dyDescent="0.3">
      <c r="A754" s="30" t="s">
        <v>459</v>
      </c>
      <c r="B754" s="38" t="s">
        <v>555</v>
      </c>
      <c r="C754" s="31">
        <v>2.9</v>
      </c>
      <c r="D754">
        <f t="shared" si="12"/>
        <v>999999999</v>
      </c>
      <c r="E754">
        <v>91</v>
      </c>
      <c r="F754" s="29" t="s">
        <v>577</v>
      </c>
    </row>
    <row r="755" spans="1:6" x14ac:dyDescent="0.3">
      <c r="A755" s="30" t="s">
        <v>459</v>
      </c>
      <c r="B755" s="38" t="s">
        <v>553</v>
      </c>
      <c r="C755" s="31">
        <v>5.9</v>
      </c>
      <c r="D755">
        <f t="shared" si="12"/>
        <v>999999999</v>
      </c>
      <c r="E755">
        <v>91</v>
      </c>
      <c r="F755" s="29" t="s">
        <v>577</v>
      </c>
    </row>
    <row r="756" spans="1:6" x14ac:dyDescent="0.3">
      <c r="A756" s="30" t="s">
        <v>460</v>
      </c>
      <c r="B756" s="38" t="s">
        <v>559</v>
      </c>
      <c r="C756" s="31">
        <v>2.2999999999999998</v>
      </c>
      <c r="D756">
        <f t="shared" si="12"/>
        <v>999999999</v>
      </c>
      <c r="E756">
        <v>92</v>
      </c>
      <c r="F756" s="29" t="s">
        <v>577</v>
      </c>
    </row>
    <row r="757" spans="1:6" x14ac:dyDescent="0.3">
      <c r="A757" s="30" t="s">
        <v>460</v>
      </c>
      <c r="B757" s="38" t="s">
        <v>557</v>
      </c>
      <c r="C757" s="31">
        <v>3.6</v>
      </c>
      <c r="D757">
        <f t="shared" si="12"/>
        <v>999999999</v>
      </c>
      <c r="E757">
        <v>92</v>
      </c>
      <c r="F757" s="29" t="s">
        <v>577</v>
      </c>
    </row>
    <row r="758" spans="1:6" x14ac:dyDescent="0.3">
      <c r="A758" s="30" t="s">
        <v>460</v>
      </c>
      <c r="B758" s="38" t="s">
        <v>558</v>
      </c>
      <c r="C758" s="31">
        <v>4.2</v>
      </c>
      <c r="D758">
        <f t="shared" si="12"/>
        <v>999999999</v>
      </c>
      <c r="E758">
        <v>92</v>
      </c>
      <c r="F758" s="29" t="s">
        <v>577</v>
      </c>
    </row>
    <row r="759" spans="1:6" ht="15" x14ac:dyDescent="0.3">
      <c r="A759" s="33" t="s">
        <v>560</v>
      </c>
      <c r="B759" s="39" t="s">
        <v>562</v>
      </c>
      <c r="C759" s="31">
        <v>2.8</v>
      </c>
      <c r="D759">
        <f t="shared" si="12"/>
        <v>999999999</v>
      </c>
      <c r="E759">
        <v>93</v>
      </c>
      <c r="F759" s="29" t="s">
        <v>577</v>
      </c>
    </row>
    <row r="760" spans="1:6" ht="15" x14ac:dyDescent="0.3">
      <c r="A760" s="33" t="s">
        <v>560</v>
      </c>
      <c r="B760" s="39" t="s">
        <v>563</v>
      </c>
      <c r="C760" s="31">
        <v>2.8</v>
      </c>
      <c r="D760">
        <f t="shared" si="12"/>
        <v>999999999</v>
      </c>
      <c r="E760">
        <v>93</v>
      </c>
      <c r="F760" s="29" t="s">
        <v>577</v>
      </c>
    </row>
    <row r="761" spans="1:6" ht="15" x14ac:dyDescent="0.3">
      <c r="A761" s="33" t="s">
        <v>560</v>
      </c>
      <c r="B761" s="39" t="s">
        <v>561</v>
      </c>
      <c r="C761" s="31">
        <v>5.4</v>
      </c>
      <c r="D761">
        <f t="shared" si="12"/>
        <v>999999999</v>
      </c>
      <c r="E761">
        <v>93</v>
      </c>
      <c r="F761" s="29" t="s">
        <v>577</v>
      </c>
    </row>
    <row r="762" spans="1:6" ht="15" x14ac:dyDescent="0.3">
      <c r="A762" s="33" t="s">
        <v>568</v>
      </c>
      <c r="B762" s="39" t="s">
        <v>570</v>
      </c>
      <c r="C762" s="31">
        <v>2.4</v>
      </c>
      <c r="D762">
        <f t="shared" si="12"/>
        <v>999999999</v>
      </c>
      <c r="E762">
        <v>94</v>
      </c>
      <c r="F762" s="29" t="s">
        <v>577</v>
      </c>
    </row>
    <row r="763" spans="1:6" ht="15" x14ac:dyDescent="0.3">
      <c r="A763" s="33" t="s">
        <v>568</v>
      </c>
      <c r="B763" s="39" t="s">
        <v>571</v>
      </c>
      <c r="C763" s="31">
        <v>2.4</v>
      </c>
      <c r="D763">
        <f t="shared" si="12"/>
        <v>999999999</v>
      </c>
      <c r="E763">
        <v>94</v>
      </c>
      <c r="F763" s="29" t="s">
        <v>577</v>
      </c>
    </row>
    <row r="764" spans="1:6" ht="15" x14ac:dyDescent="0.3">
      <c r="A764" s="33" t="s">
        <v>568</v>
      </c>
      <c r="B764" s="39" t="s">
        <v>572</v>
      </c>
      <c r="C764" s="31">
        <v>2.4</v>
      </c>
      <c r="D764">
        <f t="shared" si="12"/>
        <v>999999999</v>
      </c>
      <c r="E764">
        <v>94</v>
      </c>
      <c r="F764" s="29" t="s">
        <v>577</v>
      </c>
    </row>
    <row r="765" spans="1:6" ht="15" x14ac:dyDescent="0.3">
      <c r="A765" s="33" t="s">
        <v>564</v>
      </c>
      <c r="B765" s="39" t="s">
        <v>565</v>
      </c>
      <c r="C765" s="31">
        <v>3.2</v>
      </c>
      <c r="D765">
        <f t="shared" si="12"/>
        <v>999999999</v>
      </c>
      <c r="E765">
        <v>94</v>
      </c>
      <c r="F765" s="29" t="s">
        <v>577</v>
      </c>
    </row>
    <row r="766" spans="1:6" ht="15" x14ac:dyDescent="0.3">
      <c r="A766" s="33" t="s">
        <v>564</v>
      </c>
      <c r="B766" s="39" t="s">
        <v>566</v>
      </c>
      <c r="C766" s="31">
        <v>3.2</v>
      </c>
      <c r="D766">
        <f t="shared" si="12"/>
        <v>999999999</v>
      </c>
      <c r="E766">
        <v>94</v>
      </c>
      <c r="F766" s="29" t="s">
        <v>577</v>
      </c>
    </row>
    <row r="767" spans="1:6" ht="15" x14ac:dyDescent="0.3">
      <c r="A767" s="33" t="s">
        <v>564</v>
      </c>
      <c r="B767" s="39" t="s">
        <v>567</v>
      </c>
      <c r="C767" s="31">
        <v>3.2</v>
      </c>
      <c r="D767">
        <f t="shared" si="12"/>
        <v>999999999</v>
      </c>
      <c r="E767">
        <v>94</v>
      </c>
      <c r="F767" s="29" t="s">
        <v>577</v>
      </c>
    </row>
    <row r="768" spans="1:6" ht="15" x14ac:dyDescent="0.3">
      <c r="A768" s="33" t="s">
        <v>568</v>
      </c>
      <c r="B768" s="39" t="s">
        <v>569</v>
      </c>
      <c r="C768" s="31">
        <v>5.8</v>
      </c>
      <c r="D768">
        <f t="shared" si="12"/>
        <v>999999999</v>
      </c>
      <c r="E768">
        <v>95</v>
      </c>
      <c r="F768" s="29" t="s">
        <v>577</v>
      </c>
    </row>
    <row r="769" spans="1:6" ht="15.6" x14ac:dyDescent="0.3">
      <c r="A769" s="34" t="s">
        <v>578</v>
      </c>
      <c r="B769" s="38" t="s">
        <v>579</v>
      </c>
      <c r="C769" s="31">
        <v>19</v>
      </c>
      <c r="D769">
        <f t="shared" si="12"/>
        <v>999999999</v>
      </c>
      <c r="E769">
        <v>95</v>
      </c>
      <c r="F769" s="29" t="s">
        <v>577</v>
      </c>
    </row>
    <row r="770" spans="1:6" ht="16.2" thickBot="1" x14ac:dyDescent="0.35">
      <c r="A770" s="65" t="s">
        <v>580</v>
      </c>
      <c r="B770" s="40" t="s">
        <v>581</v>
      </c>
      <c r="C770" s="36">
        <v>19</v>
      </c>
      <c r="D770">
        <f t="shared" si="12"/>
        <v>999999999</v>
      </c>
      <c r="E770">
        <v>95</v>
      </c>
      <c r="F770" s="35" t="s">
        <v>577</v>
      </c>
    </row>
    <row r="771" spans="1:6" ht="15" thickBot="1" x14ac:dyDescent="0.35">
      <c r="A771" s="66" t="s">
        <v>738</v>
      </c>
      <c r="B771" s="68" t="s">
        <v>742</v>
      </c>
      <c r="C771" s="69">
        <v>1</v>
      </c>
      <c r="D771">
        <f t="shared" si="12"/>
        <v>999999999</v>
      </c>
      <c r="F771" s="1" t="s">
        <v>577</v>
      </c>
    </row>
    <row r="772" spans="1:6" ht="15" thickBot="1" x14ac:dyDescent="0.35">
      <c r="A772" s="64" t="s">
        <v>738</v>
      </c>
      <c r="B772" s="67" t="s">
        <v>741</v>
      </c>
      <c r="C772" s="69">
        <v>2.8</v>
      </c>
      <c r="D772">
        <f t="shared" si="12"/>
        <v>999999999</v>
      </c>
      <c r="F772" s="1" t="s">
        <v>577</v>
      </c>
    </row>
    <row r="773" spans="1:6" x14ac:dyDescent="0.3">
      <c r="A773" s="9" t="s">
        <v>738</v>
      </c>
      <c r="B773" s="47" t="s">
        <v>740</v>
      </c>
      <c r="C773" s="10">
        <v>3.5</v>
      </c>
      <c r="D773">
        <f t="shared" si="12"/>
        <v>999999999</v>
      </c>
      <c r="F773" s="1" t="s">
        <v>577</v>
      </c>
    </row>
    <row r="774" spans="1:6" x14ac:dyDescent="0.3">
      <c r="A774" s="9" t="s">
        <v>738</v>
      </c>
      <c r="B774" s="47" t="s">
        <v>739</v>
      </c>
      <c r="C774" s="10">
        <v>5.0999999999999996</v>
      </c>
      <c r="D774">
        <f t="shared" si="12"/>
        <v>999999999</v>
      </c>
      <c r="F774" s="1" t="s">
        <v>577</v>
      </c>
    </row>
    <row r="775" spans="1:6" ht="15.6" x14ac:dyDescent="0.3">
      <c r="A775" s="62" t="s">
        <v>310</v>
      </c>
      <c r="B775" s="62" t="s">
        <v>573</v>
      </c>
      <c r="C775" s="30">
        <v>19</v>
      </c>
      <c r="D775">
        <f t="shared" si="12"/>
        <v>999999999</v>
      </c>
      <c r="F775" s="1" t="s">
        <v>577</v>
      </c>
    </row>
    <row r="776" spans="1:6" ht="15.6" x14ac:dyDescent="0.3">
      <c r="A776" s="62" t="s">
        <v>311</v>
      </c>
      <c r="B776" s="62" t="s">
        <v>574</v>
      </c>
      <c r="C776" s="30">
        <v>19</v>
      </c>
      <c r="D776">
        <f t="shared" si="12"/>
        <v>999999999</v>
      </c>
      <c r="F776" s="1" t="s">
        <v>577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C0926-16DF-40D7-A7C6-DEE9A1E26DBB}">
  <dimension ref="A1:D96"/>
  <sheetViews>
    <sheetView tabSelected="1" topLeftCell="A78" workbookViewId="0">
      <selection activeCell="D94" sqref="D94"/>
    </sheetView>
  </sheetViews>
  <sheetFormatPr defaultRowHeight="14.4" x14ac:dyDescent="0.3"/>
  <cols>
    <col min="2" max="3" width="9.109375" customWidth="1"/>
  </cols>
  <sheetData>
    <row r="1" spans="1:4" ht="15.6" x14ac:dyDescent="0.3">
      <c r="A1" s="49" t="s">
        <v>317</v>
      </c>
      <c r="B1" s="49" t="s">
        <v>318</v>
      </c>
      <c r="C1" s="42" t="s">
        <v>584</v>
      </c>
    </row>
    <row r="2" spans="1:4" x14ac:dyDescent="0.3">
      <c r="A2" s="2" t="s">
        <v>668</v>
      </c>
      <c r="B2" s="3">
        <v>0.94360068159148791</v>
      </c>
      <c r="C2">
        <v>1</v>
      </c>
      <c r="D2" s="44"/>
    </row>
    <row r="3" spans="1:4" x14ac:dyDescent="0.3">
      <c r="A3" s="2" t="s">
        <v>644</v>
      </c>
      <c r="B3" s="3">
        <v>0.99068783709954</v>
      </c>
      <c r="C3">
        <v>1</v>
      </c>
      <c r="D3" s="44"/>
    </row>
    <row r="4" spans="1:4" x14ac:dyDescent="0.3">
      <c r="A4" s="2" t="s">
        <v>596</v>
      </c>
      <c r="B4" s="3">
        <v>0.87636139722890216</v>
      </c>
      <c r="C4">
        <v>1</v>
      </c>
      <c r="D4" s="44"/>
    </row>
    <row r="5" spans="1:4" x14ac:dyDescent="0.3">
      <c r="A5" s="2" t="s">
        <v>598</v>
      </c>
      <c r="B5" s="3">
        <v>0.96990389364436846</v>
      </c>
      <c r="C5">
        <v>1</v>
      </c>
      <c r="D5" s="44"/>
    </row>
    <row r="6" spans="1:4" x14ac:dyDescent="0.3">
      <c r="A6" s="2" t="s">
        <v>666</v>
      </c>
      <c r="B6" s="3">
        <v>0.89127324498549565</v>
      </c>
      <c r="C6">
        <v>1</v>
      </c>
      <c r="D6" s="44"/>
    </row>
    <row r="7" spans="1:4" x14ac:dyDescent="0.3">
      <c r="A7" s="2" t="s">
        <v>617</v>
      </c>
      <c r="B7" s="3">
        <v>0.89617985521472288</v>
      </c>
      <c r="C7">
        <v>1</v>
      </c>
      <c r="D7" s="44"/>
    </row>
    <row r="8" spans="1:4" x14ac:dyDescent="0.3">
      <c r="A8" s="2" t="s">
        <v>719</v>
      </c>
      <c r="B8" s="3">
        <v>0.88929077390930611</v>
      </c>
      <c r="C8">
        <v>1</v>
      </c>
      <c r="D8" s="44"/>
    </row>
    <row r="9" spans="1:4" x14ac:dyDescent="0.3">
      <c r="A9" s="2" t="s">
        <v>720</v>
      </c>
      <c r="B9" s="3">
        <v>0.98254649527661964</v>
      </c>
      <c r="C9">
        <v>1</v>
      </c>
      <c r="D9" s="44"/>
    </row>
    <row r="10" spans="1:4" x14ac:dyDescent="0.3">
      <c r="A10" s="2" t="s">
        <v>721</v>
      </c>
      <c r="B10" s="3">
        <v>0.98874242793244771</v>
      </c>
      <c r="C10">
        <v>1</v>
      </c>
      <c r="D10" s="44"/>
    </row>
    <row r="11" spans="1:4" x14ac:dyDescent="0.3">
      <c r="A11" s="2" t="s">
        <v>722</v>
      </c>
      <c r="B11" s="3">
        <v>0.97535102794354311</v>
      </c>
      <c r="C11">
        <v>1</v>
      </c>
      <c r="D11" s="44"/>
    </row>
    <row r="12" spans="1:4" x14ac:dyDescent="0.3">
      <c r="A12" s="2" t="s">
        <v>595</v>
      </c>
      <c r="B12" s="3">
        <v>1.023099840847135</v>
      </c>
      <c r="C12">
        <v>1</v>
      </c>
      <c r="D12" s="44"/>
    </row>
    <row r="13" spans="1:4" x14ac:dyDescent="0.3">
      <c r="A13" s="2" t="s">
        <v>651</v>
      </c>
      <c r="B13" s="3">
        <v>0.96664437832005201</v>
      </c>
      <c r="C13">
        <v>1</v>
      </c>
      <c r="D13" s="44"/>
    </row>
    <row r="14" spans="1:4" x14ac:dyDescent="0.3">
      <c r="A14" s="2" t="s">
        <v>677</v>
      </c>
      <c r="B14" s="3">
        <v>0.99806156539416402</v>
      </c>
      <c r="C14">
        <v>1</v>
      </c>
      <c r="D14" s="44"/>
    </row>
    <row r="15" spans="1:4" x14ac:dyDescent="0.3">
      <c r="A15" s="2" t="s">
        <v>723</v>
      </c>
      <c r="B15" s="3">
        <v>0.91372571331448849</v>
      </c>
      <c r="C15">
        <v>1</v>
      </c>
      <c r="D15" s="44"/>
    </row>
    <row r="16" spans="1:4" x14ac:dyDescent="0.3">
      <c r="A16" s="2" t="s">
        <v>594</v>
      </c>
      <c r="B16" s="3">
        <v>0.97830188350344538</v>
      </c>
      <c r="C16">
        <v>1</v>
      </c>
      <c r="D16" s="44"/>
    </row>
    <row r="17" spans="1:4" x14ac:dyDescent="0.3">
      <c r="A17" s="50" t="s">
        <v>600</v>
      </c>
      <c r="B17" s="51">
        <v>1</v>
      </c>
      <c r="C17">
        <v>1</v>
      </c>
      <c r="D17" s="44"/>
    </row>
    <row r="18" spans="1:4" x14ac:dyDescent="0.3">
      <c r="A18" s="2" t="s">
        <v>646</v>
      </c>
      <c r="B18" s="3">
        <v>0.9320684024598449</v>
      </c>
      <c r="C18">
        <v>1</v>
      </c>
      <c r="D18" s="44"/>
    </row>
    <row r="19" spans="1:4" x14ac:dyDescent="0.3">
      <c r="A19" s="2" t="s">
        <v>647</v>
      </c>
      <c r="B19" s="3">
        <v>0.92008944774279366</v>
      </c>
      <c r="C19">
        <v>1</v>
      </c>
      <c r="D19" s="44"/>
    </row>
    <row r="20" spans="1:4" x14ac:dyDescent="0.3">
      <c r="A20" s="2" t="s">
        <v>656</v>
      </c>
      <c r="B20" s="3">
        <v>0.88839367107284484</v>
      </c>
      <c r="C20">
        <v>1</v>
      </c>
      <c r="D20" s="44"/>
    </row>
    <row r="21" spans="1:4" x14ac:dyDescent="0.3">
      <c r="A21" s="2" t="s">
        <v>635</v>
      </c>
      <c r="B21" s="3">
        <v>0.9734252297559578</v>
      </c>
      <c r="C21">
        <v>1</v>
      </c>
      <c r="D21" s="44"/>
    </row>
    <row r="22" spans="1:4" x14ac:dyDescent="0.3">
      <c r="A22" s="2" t="s">
        <v>611</v>
      </c>
      <c r="B22" s="3">
        <v>0.99485741555981799</v>
      </c>
      <c r="C22">
        <v>1</v>
      </c>
      <c r="D22" s="44"/>
    </row>
    <row r="23" spans="1:4" x14ac:dyDescent="0.3">
      <c r="A23" s="2" t="s">
        <v>602</v>
      </c>
      <c r="B23" s="3">
        <v>0.89911138401221247</v>
      </c>
      <c r="C23">
        <v>1</v>
      </c>
      <c r="D23" s="44"/>
    </row>
    <row r="24" spans="1:4" x14ac:dyDescent="0.3">
      <c r="A24" s="2" t="s">
        <v>716</v>
      </c>
      <c r="B24" s="3">
        <v>0.95417975343225403</v>
      </c>
      <c r="C24">
        <v>1</v>
      </c>
      <c r="D24" s="44"/>
    </row>
    <row r="25" spans="1:4" x14ac:dyDescent="0.3">
      <c r="A25" s="2" t="s">
        <v>715</v>
      </c>
      <c r="B25" s="3">
        <v>0.99607181836036029</v>
      </c>
      <c r="C25">
        <v>1</v>
      </c>
      <c r="D25" s="44"/>
    </row>
    <row r="26" spans="1:4" x14ac:dyDescent="0.3">
      <c r="A26" s="2" t="s">
        <v>718</v>
      </c>
      <c r="B26" s="3">
        <v>0.92906502358091525</v>
      </c>
      <c r="C26">
        <v>1</v>
      </c>
      <c r="D26" s="44"/>
    </row>
    <row r="27" spans="1:4" x14ac:dyDescent="0.3">
      <c r="A27" s="50" t="s">
        <v>597</v>
      </c>
      <c r="B27" s="51">
        <v>1</v>
      </c>
      <c r="C27">
        <v>1</v>
      </c>
      <c r="D27" s="44"/>
    </row>
    <row r="28" spans="1:4" x14ac:dyDescent="0.3">
      <c r="A28" s="2" t="s">
        <v>612</v>
      </c>
      <c r="B28" s="3">
        <v>0.93569512627000218</v>
      </c>
      <c r="C28">
        <v>1</v>
      </c>
      <c r="D28" s="44"/>
    </row>
    <row r="29" spans="1:4" x14ac:dyDescent="0.3">
      <c r="A29" s="2" t="s">
        <v>615</v>
      </c>
      <c r="B29" s="3">
        <v>0.93205208839863185</v>
      </c>
      <c r="C29">
        <v>1</v>
      </c>
      <c r="D29" s="44"/>
    </row>
    <row r="30" spans="1:4" x14ac:dyDescent="0.3">
      <c r="A30" s="2" t="s">
        <v>688</v>
      </c>
      <c r="B30" s="3">
        <v>0.98647363655545628</v>
      </c>
      <c r="C30">
        <v>1</v>
      </c>
      <c r="D30" s="44"/>
    </row>
    <row r="31" spans="1:4" x14ac:dyDescent="0.3">
      <c r="A31" s="2" t="s">
        <v>689</v>
      </c>
      <c r="B31" s="3">
        <v>0.97934973508672551</v>
      </c>
      <c r="C31">
        <v>1</v>
      </c>
      <c r="D31" s="44"/>
    </row>
    <row r="32" spans="1:4" x14ac:dyDescent="0.3">
      <c r="A32" s="2" t="s">
        <v>694</v>
      </c>
      <c r="B32" s="3">
        <v>0.93475215079452023</v>
      </c>
      <c r="C32">
        <v>1</v>
      </c>
      <c r="D32" s="44"/>
    </row>
    <row r="33" spans="1:4" x14ac:dyDescent="0.3">
      <c r="A33" s="2" t="s">
        <v>693</v>
      </c>
      <c r="B33" s="3">
        <v>0.90575706179806725</v>
      </c>
      <c r="C33">
        <v>1</v>
      </c>
      <c r="D33" s="44"/>
    </row>
    <row r="34" spans="1:4" x14ac:dyDescent="0.3">
      <c r="A34" s="2" t="s">
        <v>620</v>
      </c>
      <c r="B34" s="3">
        <v>1.0049185870113433</v>
      </c>
      <c r="C34">
        <v>1</v>
      </c>
      <c r="D34" s="44"/>
    </row>
    <row r="35" spans="1:4" x14ac:dyDescent="0.3">
      <c r="A35" s="2" t="s">
        <v>625</v>
      </c>
      <c r="B35" s="3">
        <v>0.97336122406632053</v>
      </c>
      <c r="C35">
        <v>1</v>
      </c>
      <c r="D35" s="44"/>
    </row>
    <row r="36" spans="1:4" x14ac:dyDescent="0.3">
      <c r="A36" s="2" t="s">
        <v>619</v>
      </c>
      <c r="B36" s="3">
        <v>0.98791114977502725</v>
      </c>
      <c r="C36">
        <v>1</v>
      </c>
      <c r="D36" s="44"/>
    </row>
    <row r="37" spans="1:4" x14ac:dyDescent="0.3">
      <c r="A37" s="2" t="s">
        <v>618</v>
      </c>
      <c r="B37" s="3">
        <v>0.89501138189662011</v>
      </c>
      <c r="C37">
        <v>1</v>
      </c>
      <c r="D37" s="44"/>
    </row>
    <row r="38" spans="1:4" x14ac:dyDescent="0.3">
      <c r="A38" s="2" t="s">
        <v>630</v>
      </c>
      <c r="B38" s="3">
        <v>0.98790103164647003</v>
      </c>
      <c r="C38">
        <v>1</v>
      </c>
      <c r="D38" s="44"/>
    </row>
    <row r="39" spans="1:4" x14ac:dyDescent="0.3">
      <c r="A39" s="2" t="s">
        <v>655</v>
      </c>
      <c r="B39" s="3">
        <v>0.90895427673531226</v>
      </c>
      <c r="C39">
        <v>1</v>
      </c>
      <c r="D39" s="44"/>
    </row>
    <row r="40" spans="1:4" x14ac:dyDescent="0.3">
      <c r="A40" s="2" t="s">
        <v>632</v>
      </c>
      <c r="B40" s="3">
        <v>0.99912885742669455</v>
      </c>
      <c r="C40">
        <v>1</v>
      </c>
      <c r="D40" s="44"/>
    </row>
    <row r="41" spans="1:4" x14ac:dyDescent="0.3">
      <c r="A41" s="2" t="s">
        <v>657</v>
      </c>
      <c r="B41" s="3">
        <v>0.98571915385691677</v>
      </c>
      <c r="C41">
        <v>1</v>
      </c>
      <c r="D41" s="44"/>
    </row>
    <row r="42" spans="1:4" x14ac:dyDescent="0.3">
      <c r="A42" s="2" t="s">
        <v>724</v>
      </c>
      <c r="B42" s="3">
        <v>0.92063207501923894</v>
      </c>
      <c r="C42">
        <v>1</v>
      </c>
      <c r="D42" s="44"/>
    </row>
    <row r="43" spans="1:4" x14ac:dyDescent="0.3">
      <c r="A43" s="50" t="s">
        <v>661</v>
      </c>
      <c r="B43" s="51">
        <v>1</v>
      </c>
      <c r="C43">
        <v>1</v>
      </c>
      <c r="D43" s="44"/>
    </row>
    <row r="44" spans="1:4" x14ac:dyDescent="0.3">
      <c r="A44" s="2" t="s">
        <v>631</v>
      </c>
      <c r="B44" s="3">
        <v>0.91584330119731017</v>
      </c>
      <c r="C44">
        <v>1</v>
      </c>
      <c r="D44" s="44"/>
    </row>
    <row r="45" spans="1:4" x14ac:dyDescent="0.3">
      <c r="A45" s="2" t="s">
        <v>637</v>
      </c>
      <c r="B45" s="3">
        <v>0.91105589161743405</v>
      </c>
      <c r="C45">
        <v>1</v>
      </c>
      <c r="D45" s="44"/>
    </row>
    <row r="46" spans="1:4" x14ac:dyDescent="0.3">
      <c r="A46" s="2" t="s">
        <v>613</v>
      </c>
      <c r="B46" s="3">
        <v>0.99660068952944125</v>
      </c>
      <c r="C46">
        <v>1</v>
      </c>
      <c r="D46" s="44"/>
    </row>
    <row r="47" spans="1:4" x14ac:dyDescent="0.3">
      <c r="A47" s="2" t="s">
        <v>665</v>
      </c>
      <c r="B47" s="3">
        <v>0.9954323298981762</v>
      </c>
      <c r="C47">
        <v>1</v>
      </c>
      <c r="D47" s="44"/>
    </row>
    <row r="48" spans="1:4" x14ac:dyDescent="0.3">
      <c r="A48" s="2" t="s">
        <v>627</v>
      </c>
      <c r="B48" s="3">
        <v>0.99070386694365875</v>
      </c>
      <c r="C48">
        <v>1</v>
      </c>
      <c r="D48" s="44"/>
    </row>
    <row r="49" spans="1:4" x14ac:dyDescent="0.3">
      <c r="A49" s="2" t="s">
        <v>628</v>
      </c>
      <c r="B49" s="3">
        <v>0.92678372665177444</v>
      </c>
      <c r="C49">
        <v>1</v>
      </c>
      <c r="D49" s="44"/>
    </row>
    <row r="50" spans="1:4" x14ac:dyDescent="0.3">
      <c r="A50" s="2" t="s">
        <v>702</v>
      </c>
      <c r="B50" s="3">
        <v>1.0229442035662941</v>
      </c>
      <c r="C50">
        <v>1</v>
      </c>
      <c r="D50" s="44"/>
    </row>
    <row r="51" spans="1:4" x14ac:dyDescent="0.3">
      <c r="A51" s="2" t="s">
        <v>703</v>
      </c>
      <c r="B51" s="3">
        <v>0.93583854221578799</v>
      </c>
      <c r="C51">
        <v>1</v>
      </c>
      <c r="D51" s="44"/>
    </row>
    <row r="52" spans="1:4" x14ac:dyDescent="0.3">
      <c r="A52" s="2" t="s">
        <v>707</v>
      </c>
      <c r="B52" s="3">
        <v>0.88068490766745522</v>
      </c>
      <c r="C52">
        <v>1</v>
      </c>
      <c r="D52" s="44"/>
    </row>
    <row r="53" spans="1:4" x14ac:dyDescent="0.3">
      <c r="A53" s="2" t="s">
        <v>607</v>
      </c>
      <c r="B53" s="3">
        <v>0.95214072315429799</v>
      </c>
      <c r="C53">
        <v>1</v>
      </c>
      <c r="D53" s="44"/>
    </row>
    <row r="54" spans="1:4" x14ac:dyDescent="0.3">
      <c r="A54" s="2" t="s">
        <v>608</v>
      </c>
      <c r="B54" s="3">
        <v>1.0202983697919989</v>
      </c>
      <c r="C54">
        <v>1</v>
      </c>
      <c r="D54" s="44"/>
    </row>
    <row r="55" spans="1:4" x14ac:dyDescent="0.3">
      <c r="A55" s="50" t="s">
        <v>654</v>
      </c>
      <c r="B55" s="51">
        <v>1</v>
      </c>
      <c r="C55">
        <v>1</v>
      </c>
      <c r="D55" s="44"/>
    </row>
    <row r="56" spans="1:4" x14ac:dyDescent="0.3">
      <c r="A56" s="2" t="s">
        <v>658</v>
      </c>
      <c r="B56" s="3">
        <v>0.96271001792702005</v>
      </c>
      <c r="C56">
        <v>1</v>
      </c>
      <c r="D56" s="44"/>
    </row>
    <row r="57" spans="1:4" x14ac:dyDescent="0.3">
      <c r="A57" s="2" t="s">
        <v>725</v>
      </c>
      <c r="B57" s="3">
        <v>1.0054884991288418</v>
      </c>
      <c r="C57">
        <v>1</v>
      </c>
      <c r="D57" s="44"/>
    </row>
    <row r="58" spans="1:4" x14ac:dyDescent="0.3">
      <c r="A58" s="2" t="s">
        <v>726</v>
      </c>
      <c r="B58" s="3">
        <v>0.9634184574562823</v>
      </c>
      <c r="C58">
        <v>1</v>
      </c>
      <c r="D58" s="44"/>
    </row>
    <row r="59" spans="1:4" x14ac:dyDescent="0.3">
      <c r="A59" s="50" t="s">
        <v>695</v>
      </c>
      <c r="B59" s="51">
        <v>1</v>
      </c>
      <c r="C59">
        <v>1</v>
      </c>
      <c r="D59" s="44"/>
    </row>
    <row r="60" spans="1:4" x14ac:dyDescent="0.3">
      <c r="A60" s="2" t="s">
        <v>727</v>
      </c>
      <c r="B60" s="3">
        <v>1.0006900050822878</v>
      </c>
      <c r="C60">
        <v>1</v>
      </c>
      <c r="D60" s="44"/>
    </row>
    <row r="61" spans="1:4" x14ac:dyDescent="0.3">
      <c r="A61" s="2" t="s">
        <v>610</v>
      </c>
      <c r="B61" s="3">
        <v>0.97996085868289806</v>
      </c>
      <c r="C61">
        <v>1</v>
      </c>
      <c r="D61" s="44"/>
    </row>
    <row r="62" spans="1:4" x14ac:dyDescent="0.3">
      <c r="A62" s="2" t="s">
        <v>609</v>
      </c>
      <c r="B62" s="3">
        <v>1.0014828570885583</v>
      </c>
      <c r="C62">
        <v>1</v>
      </c>
      <c r="D62" s="44"/>
    </row>
    <row r="63" spans="1:4" x14ac:dyDescent="0.3">
      <c r="A63" s="2" t="s">
        <v>653</v>
      </c>
      <c r="B63" s="3">
        <v>0.98708021267811996</v>
      </c>
      <c r="C63">
        <v>1</v>
      </c>
      <c r="D63" s="44"/>
    </row>
    <row r="64" spans="1:4" x14ac:dyDescent="0.3">
      <c r="A64" s="2" t="s">
        <v>728</v>
      </c>
      <c r="B64" s="3">
        <v>1.0058083002033527</v>
      </c>
      <c r="C64">
        <v>1</v>
      </c>
      <c r="D64" s="44"/>
    </row>
    <row r="65" spans="1:4" x14ac:dyDescent="0.3">
      <c r="A65" s="2" t="s">
        <v>623</v>
      </c>
      <c r="B65" s="3">
        <v>0.91944654867547793</v>
      </c>
      <c r="C65">
        <v>1</v>
      </c>
      <c r="D65" s="44"/>
    </row>
    <row r="66" spans="1:4" x14ac:dyDescent="0.3">
      <c r="A66" s="2" t="s">
        <v>622</v>
      </c>
      <c r="B66" s="3">
        <v>0.96544026417832352</v>
      </c>
      <c r="C66">
        <v>1</v>
      </c>
      <c r="D66" s="44"/>
    </row>
    <row r="67" spans="1:4" x14ac:dyDescent="0.3">
      <c r="A67" s="2" t="s">
        <v>662</v>
      </c>
      <c r="B67" s="3">
        <v>0.94647241111233593</v>
      </c>
      <c r="C67">
        <v>1</v>
      </c>
      <c r="D67" s="44"/>
    </row>
    <row r="68" spans="1:4" x14ac:dyDescent="0.3">
      <c r="A68" s="2" t="s">
        <v>601</v>
      </c>
      <c r="B68" s="3">
        <v>1.0466051629802677</v>
      </c>
      <c r="C68">
        <v>1</v>
      </c>
      <c r="D68" s="44"/>
    </row>
    <row r="69" spans="1:4" x14ac:dyDescent="0.3">
      <c r="A69" s="2" t="s">
        <v>624</v>
      </c>
      <c r="B69" s="3">
        <v>0.95318254933517887</v>
      </c>
      <c r="C69">
        <v>1</v>
      </c>
      <c r="D69" s="44"/>
    </row>
    <row r="70" spans="1:4" x14ac:dyDescent="0.3">
      <c r="A70" s="2" t="s">
        <v>603</v>
      </c>
      <c r="B70" s="3">
        <v>0.95644172359898216</v>
      </c>
      <c r="C70">
        <v>1</v>
      </c>
      <c r="D70" s="44"/>
    </row>
    <row r="71" spans="1:4" x14ac:dyDescent="0.3">
      <c r="A71" s="50" t="s">
        <v>629</v>
      </c>
      <c r="B71" s="51">
        <v>1</v>
      </c>
      <c r="C71">
        <v>1</v>
      </c>
      <c r="D71" s="44"/>
    </row>
    <row r="72" spans="1:4" x14ac:dyDescent="0.3">
      <c r="A72" s="2" t="s">
        <v>664</v>
      </c>
      <c r="B72" s="3">
        <v>1.0046258434042101</v>
      </c>
      <c r="C72">
        <v>1</v>
      </c>
      <c r="D72" s="44"/>
    </row>
    <row r="73" spans="1:4" x14ac:dyDescent="0.3">
      <c r="A73" s="2" t="s">
        <v>675</v>
      </c>
      <c r="B73" s="3">
        <v>0.86566937751485962</v>
      </c>
      <c r="C73">
        <v>1</v>
      </c>
      <c r="D73" s="44"/>
    </row>
    <row r="74" spans="1:4" x14ac:dyDescent="0.3">
      <c r="A74" s="2" t="s">
        <v>678</v>
      </c>
      <c r="B74" s="3">
        <v>0.94853673671168504</v>
      </c>
      <c r="C74">
        <v>1</v>
      </c>
      <c r="D74" s="44"/>
    </row>
    <row r="75" spans="1:4" x14ac:dyDescent="0.3">
      <c r="A75" s="2" t="s">
        <v>633</v>
      </c>
      <c r="B75" s="3">
        <v>1.0072873659621109</v>
      </c>
      <c r="C75">
        <v>1</v>
      </c>
      <c r="D75" s="44"/>
    </row>
    <row r="76" spans="1:4" x14ac:dyDescent="0.3">
      <c r="A76" s="2" t="s">
        <v>614</v>
      </c>
      <c r="B76" s="3">
        <v>0.83487070368137206</v>
      </c>
      <c r="C76">
        <v>1</v>
      </c>
      <c r="D76" s="44"/>
    </row>
    <row r="77" spans="1:4" x14ac:dyDescent="0.3">
      <c r="A77" s="2" t="s">
        <v>663</v>
      </c>
      <c r="B77" s="3">
        <v>1.0203189471096266</v>
      </c>
      <c r="C77">
        <v>1</v>
      </c>
      <c r="D77" s="44"/>
    </row>
    <row r="78" spans="1:4" x14ac:dyDescent="0.3">
      <c r="A78" s="2" t="s">
        <v>679</v>
      </c>
      <c r="B78" s="3">
        <v>0.8940489091284689</v>
      </c>
      <c r="C78">
        <v>1</v>
      </c>
      <c r="D78" s="44"/>
    </row>
    <row r="79" spans="1:4" x14ac:dyDescent="0.3">
      <c r="A79" s="2" t="s">
        <v>639</v>
      </c>
      <c r="B79" s="3">
        <v>0.94795500116306353</v>
      </c>
      <c r="C79">
        <v>1</v>
      </c>
      <c r="D79" s="44"/>
    </row>
    <row r="80" spans="1:4" x14ac:dyDescent="0.3">
      <c r="A80" s="2" t="s">
        <v>640</v>
      </c>
      <c r="B80" s="3">
        <v>0.95627977669864772</v>
      </c>
      <c r="C80">
        <v>1</v>
      </c>
      <c r="D80" s="44"/>
    </row>
    <row r="81" spans="1:4" x14ac:dyDescent="0.3">
      <c r="A81" s="2" t="s">
        <v>604</v>
      </c>
      <c r="B81" s="3">
        <v>0.91448298134055217</v>
      </c>
      <c r="C81">
        <v>1</v>
      </c>
      <c r="D81" s="44"/>
    </row>
    <row r="82" spans="1:4" x14ac:dyDescent="0.3">
      <c r="A82" s="2" t="s">
        <v>676</v>
      </c>
      <c r="B82" s="3">
        <v>0.91520773493102747</v>
      </c>
      <c r="C82">
        <v>1</v>
      </c>
      <c r="D82" s="44"/>
    </row>
    <row r="83" spans="1:4" x14ac:dyDescent="0.3">
      <c r="A83" s="2" t="s">
        <v>659</v>
      </c>
      <c r="B83" s="3">
        <v>0.92596262346633007</v>
      </c>
      <c r="C83">
        <v>1</v>
      </c>
      <c r="D83" s="44"/>
    </row>
    <row r="84" spans="1:4" x14ac:dyDescent="0.3">
      <c r="A84" s="2" t="s">
        <v>660</v>
      </c>
      <c r="B84" s="3">
        <v>0.94337694589485177</v>
      </c>
      <c r="C84">
        <v>1</v>
      </c>
      <c r="D84" s="44"/>
    </row>
    <row r="85" spans="1:4" x14ac:dyDescent="0.3">
      <c r="A85" s="2" t="s">
        <v>616</v>
      </c>
      <c r="B85" s="3">
        <v>0.97504702933947551</v>
      </c>
      <c r="C85">
        <v>1</v>
      </c>
      <c r="D85" s="43"/>
    </row>
    <row r="86" spans="1:4" x14ac:dyDescent="0.3">
      <c r="A86" s="2" t="s">
        <v>636</v>
      </c>
      <c r="B86" s="3">
        <v>0.94773297076899321</v>
      </c>
      <c r="C86">
        <v>1</v>
      </c>
    </row>
    <row r="87" spans="1:4" x14ac:dyDescent="0.3">
      <c r="A87" s="50" t="s">
        <v>634</v>
      </c>
      <c r="B87" s="51">
        <v>1</v>
      </c>
      <c r="C87">
        <v>1</v>
      </c>
    </row>
    <row r="88" spans="1:4" x14ac:dyDescent="0.3">
      <c r="A88" s="2" t="s">
        <v>605</v>
      </c>
      <c r="B88" s="3">
        <v>0.91653082234843164</v>
      </c>
      <c r="C88">
        <v>1</v>
      </c>
    </row>
    <row r="89" spans="1:4" x14ac:dyDescent="0.3">
      <c r="A89" s="2" t="s">
        <v>729</v>
      </c>
      <c r="B89" s="3">
        <v>0.94366622205343442</v>
      </c>
      <c r="C89">
        <v>1</v>
      </c>
    </row>
    <row r="90" spans="1:4" x14ac:dyDescent="0.3">
      <c r="A90" s="2" t="s">
        <v>652</v>
      </c>
      <c r="B90" s="3">
        <v>0.93549583324347618</v>
      </c>
    </row>
    <row r="91" spans="1:4" x14ac:dyDescent="0.3">
      <c r="A91" s="2" t="s">
        <v>674</v>
      </c>
      <c r="B91" s="3">
        <v>0.93656170419053519</v>
      </c>
    </row>
    <row r="92" spans="1:4" x14ac:dyDescent="0.3">
      <c r="A92" s="2" t="s">
        <v>626</v>
      </c>
      <c r="B92" s="3">
        <v>0.90711004885379221</v>
      </c>
    </row>
    <row r="93" spans="1:4" x14ac:dyDescent="0.3">
      <c r="A93" s="2" t="s">
        <v>606</v>
      </c>
      <c r="B93" s="3">
        <v>1.0556100700225215</v>
      </c>
    </row>
    <row r="94" spans="1:4" x14ac:dyDescent="0.3">
      <c r="A94" s="2" t="s">
        <v>599</v>
      </c>
      <c r="B94" s="3">
        <v>0.95482111772726053</v>
      </c>
    </row>
    <row r="95" spans="1:4" x14ac:dyDescent="0.3">
      <c r="A95" s="2" t="s">
        <v>621</v>
      </c>
      <c r="B95" s="3">
        <v>0.8969583826794405</v>
      </c>
    </row>
    <row r="96" spans="1:4" x14ac:dyDescent="0.3">
      <c r="A96" s="2" t="s">
        <v>744</v>
      </c>
      <c r="B96" s="71">
        <v>1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67872-47A6-4804-A908-7A16A9A3C0F8}">
  <dimension ref="A1:B283"/>
  <sheetViews>
    <sheetView topLeftCell="A276" workbookViewId="0">
      <selection activeCell="B4" sqref="B4:B16"/>
    </sheetView>
  </sheetViews>
  <sheetFormatPr defaultRowHeight="14.4" x14ac:dyDescent="0.3"/>
  <cols>
    <col min="1" max="2" width="27.21875" style="1" customWidth="1"/>
  </cols>
  <sheetData>
    <row r="1" spans="1:2" x14ac:dyDescent="0.3">
      <c r="A1" s="7" t="s">
        <v>730</v>
      </c>
      <c r="B1" s="7" t="s">
        <v>583</v>
      </c>
    </row>
    <row r="2" spans="1:2" x14ac:dyDescent="0.3">
      <c r="A2" s="47" t="s">
        <v>62</v>
      </c>
      <c r="B2" s="8" t="s">
        <v>597</v>
      </c>
    </row>
    <row r="3" spans="1:2" x14ac:dyDescent="0.3">
      <c r="A3" s="47" t="s">
        <v>63</v>
      </c>
      <c r="B3" s="8" t="s">
        <v>597</v>
      </c>
    </row>
    <row r="4" spans="1:2" x14ac:dyDescent="0.3">
      <c r="A4" s="47" t="s">
        <v>64</v>
      </c>
      <c r="B4" s="8" t="s">
        <v>597</v>
      </c>
    </row>
    <row r="5" spans="1:2" x14ac:dyDescent="0.3">
      <c r="A5" s="47" t="s">
        <v>65</v>
      </c>
      <c r="B5" s="8" t="s">
        <v>597</v>
      </c>
    </row>
    <row r="6" spans="1:2" x14ac:dyDescent="0.3">
      <c r="A6" s="47" t="s">
        <v>287</v>
      </c>
      <c r="B6" s="8" t="s">
        <v>597</v>
      </c>
    </row>
    <row r="7" spans="1:2" x14ac:dyDescent="0.3">
      <c r="A7" s="47" t="s">
        <v>288</v>
      </c>
      <c r="B7" s="8" t="s">
        <v>597</v>
      </c>
    </row>
    <row r="8" spans="1:2" x14ac:dyDescent="0.3">
      <c r="A8" s="47" t="s">
        <v>66</v>
      </c>
      <c r="B8" s="8" t="s">
        <v>597</v>
      </c>
    </row>
    <row r="9" spans="1:2" x14ac:dyDescent="0.3">
      <c r="A9" s="47" t="s">
        <v>67</v>
      </c>
      <c r="B9" s="8" t="s">
        <v>597</v>
      </c>
    </row>
    <row r="10" spans="1:2" x14ac:dyDescent="0.3">
      <c r="A10" s="47" t="s">
        <v>68</v>
      </c>
      <c r="B10" s="8" t="s">
        <v>597</v>
      </c>
    </row>
    <row r="11" spans="1:2" x14ac:dyDescent="0.3">
      <c r="A11" s="47" t="s">
        <v>69</v>
      </c>
      <c r="B11" s="8" t="s">
        <v>597</v>
      </c>
    </row>
    <row r="12" spans="1:2" x14ac:dyDescent="0.3">
      <c r="A12" s="47" t="s">
        <v>70</v>
      </c>
      <c r="B12" s="8" t="s">
        <v>597</v>
      </c>
    </row>
    <row r="13" spans="1:2" x14ac:dyDescent="0.3">
      <c r="A13" s="47" t="s">
        <v>330</v>
      </c>
      <c r="B13" s="8" t="s">
        <v>597</v>
      </c>
    </row>
    <row r="14" spans="1:2" x14ac:dyDescent="0.3">
      <c r="A14" s="47" t="s">
        <v>331</v>
      </c>
      <c r="B14" s="8" t="s">
        <v>597</v>
      </c>
    </row>
    <row r="15" spans="1:2" x14ac:dyDescent="0.3">
      <c r="A15" s="47" t="s">
        <v>332</v>
      </c>
      <c r="B15" s="8" t="s">
        <v>597</v>
      </c>
    </row>
    <row r="16" spans="1:2" x14ac:dyDescent="0.3">
      <c r="A16" s="47" t="s">
        <v>290</v>
      </c>
      <c r="B16" s="8" t="s">
        <v>597</v>
      </c>
    </row>
    <row r="17" spans="1:2" x14ac:dyDescent="0.3">
      <c r="A17" s="47" t="s">
        <v>73</v>
      </c>
      <c r="B17" s="8" t="s">
        <v>597</v>
      </c>
    </row>
    <row r="18" spans="1:2" x14ac:dyDescent="0.3">
      <c r="A18" s="47" t="s">
        <v>74</v>
      </c>
      <c r="B18" s="8" t="s">
        <v>597</v>
      </c>
    </row>
    <row r="19" spans="1:2" x14ac:dyDescent="0.3">
      <c r="A19" s="47" t="s">
        <v>75</v>
      </c>
      <c r="B19" s="8" t="s">
        <v>597</v>
      </c>
    </row>
    <row r="20" spans="1:2" x14ac:dyDescent="0.3">
      <c r="A20" s="47" t="s">
        <v>76</v>
      </c>
      <c r="B20" s="8" t="s">
        <v>597</v>
      </c>
    </row>
    <row r="21" spans="1:2" x14ac:dyDescent="0.3">
      <c r="A21" s="47" t="s">
        <v>77</v>
      </c>
      <c r="B21" s="8" t="s">
        <v>597</v>
      </c>
    </row>
    <row r="22" spans="1:2" x14ac:dyDescent="0.3">
      <c r="A22" s="47" t="s">
        <v>78</v>
      </c>
      <c r="B22" s="8" t="s">
        <v>597</v>
      </c>
    </row>
    <row r="23" spans="1:2" x14ac:dyDescent="0.3">
      <c r="A23" s="47" t="s">
        <v>292</v>
      </c>
      <c r="B23" s="8" t="s">
        <v>597</v>
      </c>
    </row>
    <row r="24" spans="1:2" x14ac:dyDescent="0.3">
      <c r="A24" s="47" t="s">
        <v>293</v>
      </c>
      <c r="B24" s="8" t="s">
        <v>597</v>
      </c>
    </row>
    <row r="25" spans="1:2" x14ac:dyDescent="0.3">
      <c r="A25" s="47" t="s">
        <v>81</v>
      </c>
      <c r="B25" s="8" t="s">
        <v>597</v>
      </c>
    </row>
    <row r="26" spans="1:2" x14ac:dyDescent="0.3">
      <c r="A26" s="47" t="s">
        <v>340</v>
      </c>
      <c r="B26" s="8" t="s">
        <v>597</v>
      </c>
    </row>
    <row r="27" spans="1:2" x14ac:dyDescent="0.3">
      <c r="A27" s="47" t="s">
        <v>341</v>
      </c>
      <c r="B27" s="8" t="s">
        <v>597</v>
      </c>
    </row>
    <row r="28" spans="1:2" x14ac:dyDescent="0.3">
      <c r="A28" s="47" t="s">
        <v>80</v>
      </c>
      <c r="B28" s="8" t="s">
        <v>597</v>
      </c>
    </row>
    <row r="29" spans="1:2" x14ac:dyDescent="0.3">
      <c r="A29" s="47" t="s">
        <v>83</v>
      </c>
      <c r="B29" s="8" t="s">
        <v>597</v>
      </c>
    </row>
    <row r="30" spans="1:2" x14ac:dyDescent="0.3">
      <c r="A30" s="47" t="s">
        <v>84</v>
      </c>
      <c r="B30" s="8" t="s">
        <v>597</v>
      </c>
    </row>
    <row r="31" spans="1:2" x14ac:dyDescent="0.3">
      <c r="A31" s="47" t="s">
        <v>85</v>
      </c>
      <c r="B31" s="8" t="s">
        <v>597</v>
      </c>
    </row>
    <row r="32" spans="1:2" x14ac:dyDescent="0.3">
      <c r="A32" s="47" t="s">
        <v>86</v>
      </c>
      <c r="B32" s="8" t="s">
        <v>597</v>
      </c>
    </row>
    <row r="33" spans="1:2" x14ac:dyDescent="0.3">
      <c r="A33" s="47" t="s">
        <v>87</v>
      </c>
      <c r="B33" s="8" t="s">
        <v>600</v>
      </c>
    </row>
    <row r="34" spans="1:2" x14ac:dyDescent="0.3">
      <c r="A34" s="47" t="s">
        <v>88</v>
      </c>
      <c r="B34" s="8" t="s">
        <v>600</v>
      </c>
    </row>
    <row r="35" spans="1:2" x14ac:dyDescent="0.3">
      <c r="A35" s="47" t="s">
        <v>89</v>
      </c>
      <c r="B35" s="8" t="s">
        <v>600</v>
      </c>
    </row>
    <row r="36" spans="1:2" x14ac:dyDescent="0.3">
      <c r="A36" s="47" t="s">
        <v>90</v>
      </c>
      <c r="B36" s="8" t="s">
        <v>600</v>
      </c>
    </row>
    <row r="37" spans="1:2" x14ac:dyDescent="0.3">
      <c r="A37" s="47" t="s">
        <v>91</v>
      </c>
      <c r="B37" s="8" t="s">
        <v>600</v>
      </c>
    </row>
    <row r="38" spans="1:2" x14ac:dyDescent="0.3">
      <c r="A38" s="47" t="s">
        <v>92</v>
      </c>
      <c r="B38" s="8" t="s">
        <v>600</v>
      </c>
    </row>
    <row r="39" spans="1:2" x14ac:dyDescent="0.3">
      <c r="A39" s="47" t="s">
        <v>94</v>
      </c>
      <c r="B39" s="8" t="s">
        <v>600</v>
      </c>
    </row>
    <row r="40" spans="1:2" x14ac:dyDescent="0.3">
      <c r="A40" s="47" t="s">
        <v>95</v>
      </c>
      <c r="B40" s="8" t="s">
        <v>600</v>
      </c>
    </row>
    <row r="41" spans="1:2" x14ac:dyDescent="0.3">
      <c r="A41" s="47" t="s">
        <v>96</v>
      </c>
      <c r="B41" s="8" t="s">
        <v>600</v>
      </c>
    </row>
    <row r="42" spans="1:2" x14ac:dyDescent="0.3">
      <c r="A42" s="47" t="s">
        <v>96</v>
      </c>
      <c r="B42" s="8" t="s">
        <v>600</v>
      </c>
    </row>
    <row r="43" spans="1:2" x14ac:dyDescent="0.3">
      <c r="A43" s="47" t="s">
        <v>97</v>
      </c>
      <c r="B43" s="8" t="s">
        <v>600</v>
      </c>
    </row>
    <row r="44" spans="1:2" x14ac:dyDescent="0.3">
      <c r="A44" s="47" t="s">
        <v>97</v>
      </c>
      <c r="B44" s="8" t="s">
        <v>600</v>
      </c>
    </row>
    <row r="45" spans="1:2" x14ac:dyDescent="0.3">
      <c r="A45" s="47" t="s">
        <v>99</v>
      </c>
      <c r="B45" s="8" t="s">
        <v>600</v>
      </c>
    </row>
    <row r="46" spans="1:2" x14ac:dyDescent="0.3">
      <c r="A46" s="47" t="s">
        <v>100</v>
      </c>
      <c r="B46" s="8" t="s">
        <v>600</v>
      </c>
    </row>
    <row r="47" spans="1:2" x14ac:dyDescent="0.3">
      <c r="A47" s="47" t="s">
        <v>101</v>
      </c>
      <c r="B47" s="8" t="s">
        <v>600</v>
      </c>
    </row>
    <row r="48" spans="1:2" x14ac:dyDescent="0.3">
      <c r="A48" s="47" t="s">
        <v>101</v>
      </c>
      <c r="B48" s="8" t="s">
        <v>600</v>
      </c>
    </row>
    <row r="49" spans="1:2" x14ac:dyDescent="0.3">
      <c r="A49" s="47" t="s">
        <v>101</v>
      </c>
      <c r="B49" s="8" t="s">
        <v>600</v>
      </c>
    </row>
    <row r="50" spans="1:2" x14ac:dyDescent="0.3">
      <c r="A50" s="47" t="s">
        <v>106</v>
      </c>
      <c r="B50" s="8" t="s">
        <v>600</v>
      </c>
    </row>
    <row r="51" spans="1:2" x14ac:dyDescent="0.3">
      <c r="A51" s="47" t="s">
        <v>105</v>
      </c>
      <c r="B51" s="8" t="s">
        <v>600</v>
      </c>
    </row>
    <row r="52" spans="1:2" x14ac:dyDescent="0.3">
      <c r="A52" s="47" t="s">
        <v>108</v>
      </c>
      <c r="B52" s="8" t="s">
        <v>600</v>
      </c>
    </row>
    <row r="53" spans="1:2" x14ac:dyDescent="0.3">
      <c r="A53" s="47" t="s">
        <v>109</v>
      </c>
      <c r="B53" s="8" t="s">
        <v>600</v>
      </c>
    </row>
    <row r="54" spans="1:2" x14ac:dyDescent="0.3">
      <c r="A54" s="47" t="s">
        <v>110</v>
      </c>
      <c r="B54" s="8" t="s">
        <v>600</v>
      </c>
    </row>
    <row r="55" spans="1:2" x14ac:dyDescent="0.3">
      <c r="A55" s="47" t="s">
        <v>111</v>
      </c>
      <c r="B55" s="8" t="s">
        <v>600</v>
      </c>
    </row>
    <row r="56" spans="1:2" x14ac:dyDescent="0.3">
      <c r="A56" s="47" t="s">
        <v>112</v>
      </c>
      <c r="B56" s="8" t="s">
        <v>600</v>
      </c>
    </row>
    <row r="57" spans="1:2" x14ac:dyDescent="0.3">
      <c r="A57" s="47" t="s">
        <v>113</v>
      </c>
      <c r="B57" s="8" t="s">
        <v>600</v>
      </c>
    </row>
    <row r="58" spans="1:2" x14ac:dyDescent="0.3">
      <c r="A58" s="47" t="s">
        <v>114</v>
      </c>
      <c r="B58" s="8" t="s">
        <v>600</v>
      </c>
    </row>
    <row r="59" spans="1:2" x14ac:dyDescent="0.3">
      <c r="A59" s="47" t="s">
        <v>115</v>
      </c>
      <c r="B59" s="8" t="s">
        <v>600</v>
      </c>
    </row>
    <row r="60" spans="1:2" x14ac:dyDescent="0.3">
      <c r="A60" s="47" t="s">
        <v>116</v>
      </c>
      <c r="B60" s="8" t="s">
        <v>600</v>
      </c>
    </row>
    <row r="61" spans="1:2" x14ac:dyDescent="0.3">
      <c r="A61" s="47" t="s">
        <v>117</v>
      </c>
      <c r="B61" s="8" t="s">
        <v>600</v>
      </c>
    </row>
    <row r="62" spans="1:2" x14ac:dyDescent="0.3">
      <c r="A62" s="47" t="s">
        <v>119</v>
      </c>
      <c r="B62" s="8" t="s">
        <v>600</v>
      </c>
    </row>
    <row r="63" spans="1:2" x14ac:dyDescent="0.3">
      <c r="A63" s="47" t="s">
        <v>120</v>
      </c>
      <c r="B63" s="8" t="s">
        <v>600</v>
      </c>
    </row>
    <row r="64" spans="1:2" x14ac:dyDescent="0.3">
      <c r="A64" s="47" t="s">
        <v>121</v>
      </c>
      <c r="B64" s="8" t="s">
        <v>600</v>
      </c>
    </row>
    <row r="65" spans="1:2" x14ac:dyDescent="0.3">
      <c r="A65" s="47" t="s">
        <v>124</v>
      </c>
      <c r="B65" s="8" t="s">
        <v>600</v>
      </c>
    </row>
    <row r="66" spans="1:2" x14ac:dyDescent="0.3">
      <c r="A66" s="47" t="s">
        <v>125</v>
      </c>
      <c r="B66" s="8" t="s">
        <v>600</v>
      </c>
    </row>
    <row r="67" spans="1:2" x14ac:dyDescent="0.3">
      <c r="A67" s="47" t="s">
        <v>126</v>
      </c>
      <c r="B67" s="8" t="s">
        <v>600</v>
      </c>
    </row>
    <row r="68" spans="1:2" x14ac:dyDescent="0.3">
      <c r="A68" s="47" t="s">
        <v>127</v>
      </c>
      <c r="B68" s="8" t="s">
        <v>600</v>
      </c>
    </row>
    <row r="69" spans="1:2" x14ac:dyDescent="0.3">
      <c r="A69" s="47" t="s">
        <v>128</v>
      </c>
      <c r="B69" s="8" t="s">
        <v>600</v>
      </c>
    </row>
    <row r="70" spans="1:2" x14ac:dyDescent="0.3">
      <c r="A70" s="47" t="s">
        <v>130</v>
      </c>
      <c r="B70" s="8" t="s">
        <v>600</v>
      </c>
    </row>
    <row r="71" spans="1:2" x14ac:dyDescent="0.3">
      <c r="A71" s="47" t="s">
        <v>131</v>
      </c>
      <c r="B71" s="8" t="s">
        <v>600</v>
      </c>
    </row>
    <row r="72" spans="1:2" x14ac:dyDescent="0.3">
      <c r="A72" s="47" t="s">
        <v>132</v>
      </c>
      <c r="B72" s="8" t="s">
        <v>600</v>
      </c>
    </row>
    <row r="73" spans="1:2" x14ac:dyDescent="0.3">
      <c r="A73" s="47" t="s">
        <v>133</v>
      </c>
      <c r="B73" s="8" t="s">
        <v>600</v>
      </c>
    </row>
    <row r="74" spans="1:2" x14ac:dyDescent="0.3">
      <c r="A74" s="47" t="s">
        <v>134</v>
      </c>
      <c r="B74" s="8" t="s">
        <v>600</v>
      </c>
    </row>
    <row r="75" spans="1:2" x14ac:dyDescent="0.3">
      <c r="A75" s="47" t="s">
        <v>135</v>
      </c>
      <c r="B75" s="8" t="s">
        <v>600</v>
      </c>
    </row>
    <row r="76" spans="1:2" x14ac:dyDescent="0.3">
      <c r="A76" s="47" t="s">
        <v>135</v>
      </c>
      <c r="B76" s="8" t="s">
        <v>600</v>
      </c>
    </row>
    <row r="77" spans="1:2" x14ac:dyDescent="0.3">
      <c r="A77" s="47" t="s">
        <v>136</v>
      </c>
      <c r="B77" s="8" t="s">
        <v>600</v>
      </c>
    </row>
    <row r="78" spans="1:2" x14ac:dyDescent="0.3">
      <c r="A78" s="47" t="s">
        <v>137</v>
      </c>
      <c r="B78" s="8" t="s">
        <v>600</v>
      </c>
    </row>
    <row r="79" spans="1:2" x14ac:dyDescent="0.3">
      <c r="A79" s="47" t="s">
        <v>138</v>
      </c>
      <c r="B79" s="8" t="s">
        <v>600</v>
      </c>
    </row>
    <row r="80" spans="1:2" x14ac:dyDescent="0.3">
      <c r="A80" s="47" t="s">
        <v>139</v>
      </c>
      <c r="B80" s="8" t="s">
        <v>600</v>
      </c>
    </row>
    <row r="81" spans="1:2" x14ac:dyDescent="0.3">
      <c r="A81" s="47" t="s">
        <v>140</v>
      </c>
      <c r="B81" s="8" t="s">
        <v>600</v>
      </c>
    </row>
    <row r="82" spans="1:2" x14ac:dyDescent="0.3">
      <c r="A82" s="47" t="s">
        <v>369</v>
      </c>
      <c r="B82" s="8" t="s">
        <v>600</v>
      </c>
    </row>
    <row r="83" spans="1:2" x14ac:dyDescent="0.3">
      <c r="A83" s="47" t="s">
        <v>142</v>
      </c>
      <c r="B83" s="8" t="s">
        <v>600</v>
      </c>
    </row>
    <row r="84" spans="1:2" x14ac:dyDescent="0.3">
      <c r="A84" s="47" t="s">
        <v>145</v>
      </c>
      <c r="B84" s="8" t="s">
        <v>600</v>
      </c>
    </row>
    <row r="85" spans="1:2" x14ac:dyDescent="0.3">
      <c r="A85" s="47" t="s">
        <v>144</v>
      </c>
      <c r="B85" s="8" t="s">
        <v>600</v>
      </c>
    </row>
    <row r="86" spans="1:2" x14ac:dyDescent="0.3">
      <c r="A86" s="47" t="s">
        <v>146</v>
      </c>
      <c r="B86" s="8" t="s">
        <v>629</v>
      </c>
    </row>
    <row r="87" spans="1:2" x14ac:dyDescent="0.3">
      <c r="A87" s="47" t="s">
        <v>147</v>
      </c>
      <c r="B87" s="8" t="s">
        <v>629</v>
      </c>
    </row>
    <row r="88" spans="1:2" x14ac:dyDescent="0.3">
      <c r="A88" s="47" t="s">
        <v>148</v>
      </c>
      <c r="B88" s="8" t="s">
        <v>629</v>
      </c>
    </row>
    <row r="89" spans="1:2" x14ac:dyDescent="0.3">
      <c r="A89" s="47" t="s">
        <v>149</v>
      </c>
      <c r="B89" s="8" t="s">
        <v>629</v>
      </c>
    </row>
    <row r="90" spans="1:2" x14ac:dyDescent="0.3">
      <c r="A90" s="47" t="s">
        <v>150</v>
      </c>
      <c r="B90" s="8" t="s">
        <v>629</v>
      </c>
    </row>
    <row r="91" spans="1:2" x14ac:dyDescent="0.3">
      <c r="A91" s="47" t="s">
        <v>151</v>
      </c>
      <c r="B91" s="8" t="s">
        <v>629</v>
      </c>
    </row>
    <row r="92" spans="1:2" x14ac:dyDescent="0.3">
      <c r="A92" s="47" t="s">
        <v>152</v>
      </c>
      <c r="B92" s="8" t="s">
        <v>629</v>
      </c>
    </row>
    <row r="93" spans="1:2" x14ac:dyDescent="0.3">
      <c r="A93" s="47" t="s">
        <v>153</v>
      </c>
      <c r="B93" s="8" t="s">
        <v>629</v>
      </c>
    </row>
    <row r="94" spans="1:2" x14ac:dyDescent="0.3">
      <c r="A94" s="47" t="s">
        <v>154</v>
      </c>
      <c r="B94" s="8" t="s">
        <v>629</v>
      </c>
    </row>
    <row r="95" spans="1:2" x14ac:dyDescent="0.3">
      <c r="A95" s="47" t="s">
        <v>155</v>
      </c>
      <c r="B95" s="8" t="s">
        <v>629</v>
      </c>
    </row>
    <row r="96" spans="1:2" x14ac:dyDescent="0.3">
      <c r="A96" s="47" t="s">
        <v>156</v>
      </c>
      <c r="B96" s="8" t="s">
        <v>629</v>
      </c>
    </row>
    <row r="97" spans="1:2" x14ac:dyDescent="0.3">
      <c r="A97" s="47" t="s">
        <v>157</v>
      </c>
      <c r="B97" s="8" t="s">
        <v>629</v>
      </c>
    </row>
    <row r="98" spans="1:2" x14ac:dyDescent="0.3">
      <c r="A98" s="47" t="s">
        <v>375</v>
      </c>
      <c r="B98" s="8" t="s">
        <v>629</v>
      </c>
    </row>
    <row r="99" spans="1:2" x14ac:dyDescent="0.3">
      <c r="A99" s="47" t="s">
        <v>158</v>
      </c>
      <c r="B99" s="8" t="s">
        <v>629</v>
      </c>
    </row>
    <row r="100" spans="1:2" x14ac:dyDescent="0.3">
      <c r="A100" s="47" t="s">
        <v>159</v>
      </c>
      <c r="B100" s="8" t="s">
        <v>629</v>
      </c>
    </row>
    <row r="101" spans="1:2" x14ac:dyDescent="0.3">
      <c r="A101" s="47" t="s">
        <v>160</v>
      </c>
      <c r="B101" s="8" t="s">
        <v>629</v>
      </c>
    </row>
    <row r="102" spans="1:2" x14ac:dyDescent="0.3">
      <c r="A102" s="47" t="s">
        <v>161</v>
      </c>
      <c r="B102" s="8" t="s">
        <v>629</v>
      </c>
    </row>
    <row r="103" spans="1:2" x14ac:dyDescent="0.3">
      <c r="A103" s="47" t="s">
        <v>162</v>
      </c>
      <c r="B103" s="8" t="s">
        <v>629</v>
      </c>
    </row>
    <row r="104" spans="1:2" x14ac:dyDescent="0.3">
      <c r="A104" s="47" t="s">
        <v>163</v>
      </c>
      <c r="B104" s="8" t="s">
        <v>629</v>
      </c>
    </row>
    <row r="105" spans="1:2" x14ac:dyDescent="0.3">
      <c r="A105" s="47" t="s">
        <v>164</v>
      </c>
      <c r="B105" s="8" t="s">
        <v>629</v>
      </c>
    </row>
    <row r="106" spans="1:2" x14ac:dyDescent="0.3">
      <c r="A106" s="47" t="s">
        <v>165</v>
      </c>
      <c r="B106" s="8" t="s">
        <v>629</v>
      </c>
    </row>
    <row r="107" spans="1:2" x14ac:dyDescent="0.3">
      <c r="A107" s="47" t="s">
        <v>166</v>
      </c>
      <c r="B107" s="8" t="s">
        <v>629</v>
      </c>
    </row>
    <row r="108" spans="1:2" x14ac:dyDescent="0.3">
      <c r="A108" s="47" t="s">
        <v>167</v>
      </c>
      <c r="B108" s="8" t="s">
        <v>629</v>
      </c>
    </row>
    <row r="109" spans="1:2" x14ac:dyDescent="0.3">
      <c r="A109" s="47" t="s">
        <v>378</v>
      </c>
      <c r="B109" s="8" t="s">
        <v>634</v>
      </c>
    </row>
    <row r="110" spans="1:2" x14ac:dyDescent="0.3">
      <c r="A110" s="47" t="s">
        <v>379</v>
      </c>
      <c r="B110" s="8" t="s">
        <v>634</v>
      </c>
    </row>
    <row r="111" spans="1:2" x14ac:dyDescent="0.3">
      <c r="A111" s="47" t="s">
        <v>168</v>
      </c>
      <c r="B111" s="8" t="s">
        <v>634</v>
      </c>
    </row>
    <row r="112" spans="1:2" x14ac:dyDescent="0.3">
      <c r="A112" s="47" t="s">
        <v>169</v>
      </c>
      <c r="B112" s="8" t="s">
        <v>634</v>
      </c>
    </row>
    <row r="113" spans="1:2" x14ac:dyDescent="0.3">
      <c r="A113" s="47" t="s">
        <v>381</v>
      </c>
      <c r="B113" s="8" t="s">
        <v>634</v>
      </c>
    </row>
    <row r="114" spans="1:2" x14ac:dyDescent="0.3">
      <c r="A114" s="47" t="s">
        <v>294</v>
      </c>
      <c r="B114" s="8" t="s">
        <v>634</v>
      </c>
    </row>
    <row r="115" spans="1:2" x14ac:dyDescent="0.3">
      <c r="A115" s="47" t="s">
        <v>295</v>
      </c>
      <c r="B115" s="8" t="s">
        <v>634</v>
      </c>
    </row>
    <row r="116" spans="1:2" x14ac:dyDescent="0.3">
      <c r="A116" s="47" t="s">
        <v>296</v>
      </c>
      <c r="B116" s="8" t="s">
        <v>634</v>
      </c>
    </row>
    <row r="117" spans="1:2" x14ac:dyDescent="0.3">
      <c r="A117" s="47" t="s">
        <v>171</v>
      </c>
      <c r="B117" s="8" t="s">
        <v>634</v>
      </c>
    </row>
    <row r="118" spans="1:2" x14ac:dyDescent="0.3">
      <c r="A118" s="47" t="s">
        <v>172</v>
      </c>
      <c r="B118" s="8" t="s">
        <v>634</v>
      </c>
    </row>
    <row r="119" spans="1:2" x14ac:dyDescent="0.3">
      <c r="A119" s="47" t="s">
        <v>173</v>
      </c>
      <c r="B119" s="8" t="s">
        <v>634</v>
      </c>
    </row>
    <row r="120" spans="1:2" x14ac:dyDescent="0.3">
      <c r="A120" s="47" t="s">
        <v>174</v>
      </c>
      <c r="B120" s="8" t="s">
        <v>634</v>
      </c>
    </row>
    <row r="121" spans="1:2" x14ac:dyDescent="0.3">
      <c r="A121" s="47" t="s">
        <v>175</v>
      </c>
      <c r="B121" s="8" t="s">
        <v>634</v>
      </c>
    </row>
    <row r="122" spans="1:2" x14ac:dyDescent="0.3">
      <c r="A122" s="47" t="s">
        <v>638</v>
      </c>
      <c r="B122" s="8" t="s">
        <v>634</v>
      </c>
    </row>
    <row r="123" spans="1:2" x14ac:dyDescent="0.3">
      <c r="A123" s="47" t="s">
        <v>641</v>
      </c>
      <c r="B123" s="8" t="s">
        <v>634</v>
      </c>
    </row>
    <row r="124" spans="1:2" x14ac:dyDescent="0.3">
      <c r="A124" s="47" t="s">
        <v>642</v>
      </c>
      <c r="B124" s="8" t="s">
        <v>634</v>
      </c>
    </row>
    <row r="125" spans="1:2" x14ac:dyDescent="0.3">
      <c r="A125" s="47" t="s">
        <v>643</v>
      </c>
      <c r="B125" s="8" t="s">
        <v>634</v>
      </c>
    </row>
    <row r="126" spans="1:2" x14ac:dyDescent="0.3">
      <c r="A126" s="47" t="s">
        <v>176</v>
      </c>
      <c r="B126" s="8" t="s">
        <v>634</v>
      </c>
    </row>
    <row r="127" spans="1:2" x14ac:dyDescent="0.3">
      <c r="A127" s="47" t="s">
        <v>177</v>
      </c>
      <c r="B127" s="8" t="s">
        <v>634</v>
      </c>
    </row>
    <row r="128" spans="1:2" x14ac:dyDescent="0.3">
      <c r="A128" s="47" t="s">
        <v>178</v>
      </c>
      <c r="B128" s="8" t="s">
        <v>634</v>
      </c>
    </row>
    <row r="129" spans="1:2" x14ac:dyDescent="0.3">
      <c r="A129" s="47" t="s">
        <v>178</v>
      </c>
      <c r="B129" s="8" t="s">
        <v>634</v>
      </c>
    </row>
    <row r="130" spans="1:2" x14ac:dyDescent="0.3">
      <c r="A130" s="47" t="s">
        <v>179</v>
      </c>
      <c r="B130" s="8" t="s">
        <v>634</v>
      </c>
    </row>
    <row r="131" spans="1:2" x14ac:dyDescent="0.3">
      <c r="A131" s="47" t="s">
        <v>180</v>
      </c>
      <c r="B131" s="8" t="s">
        <v>634</v>
      </c>
    </row>
    <row r="132" spans="1:2" x14ac:dyDescent="0.3">
      <c r="A132" s="47" t="s">
        <v>645</v>
      </c>
      <c r="B132" s="8" t="s">
        <v>634</v>
      </c>
    </row>
    <row r="133" spans="1:2" x14ac:dyDescent="0.3">
      <c r="A133" s="47" t="s">
        <v>648</v>
      </c>
      <c r="B133" s="8" t="s">
        <v>634</v>
      </c>
    </row>
    <row r="134" spans="1:2" x14ac:dyDescent="0.3">
      <c r="A134" s="47" t="s">
        <v>649</v>
      </c>
      <c r="B134" s="8" t="s">
        <v>634</v>
      </c>
    </row>
    <row r="135" spans="1:2" x14ac:dyDescent="0.3">
      <c r="A135" s="47" t="s">
        <v>650</v>
      </c>
      <c r="B135" s="8" t="s">
        <v>634</v>
      </c>
    </row>
    <row r="136" spans="1:2" x14ac:dyDescent="0.3">
      <c r="A136" s="47" t="s">
        <v>181</v>
      </c>
      <c r="B136" s="8" t="s">
        <v>634</v>
      </c>
    </row>
    <row r="137" spans="1:2" x14ac:dyDescent="0.3">
      <c r="A137" s="47" t="s">
        <v>182</v>
      </c>
      <c r="B137" s="8" t="s">
        <v>634</v>
      </c>
    </row>
    <row r="138" spans="1:2" x14ac:dyDescent="0.3">
      <c r="A138" s="47" t="s">
        <v>183</v>
      </c>
      <c r="B138" s="8" t="s">
        <v>634</v>
      </c>
    </row>
    <row r="139" spans="1:2" x14ac:dyDescent="0.3">
      <c r="A139" s="47" t="s">
        <v>184</v>
      </c>
      <c r="B139" s="8" t="s">
        <v>634</v>
      </c>
    </row>
    <row r="140" spans="1:2" x14ac:dyDescent="0.3">
      <c r="A140" s="47" t="s">
        <v>185</v>
      </c>
      <c r="B140" s="8" t="s">
        <v>634</v>
      </c>
    </row>
    <row r="141" spans="1:2" x14ac:dyDescent="0.3">
      <c r="A141" s="47" t="s">
        <v>187</v>
      </c>
      <c r="B141" s="8" t="s">
        <v>634</v>
      </c>
    </row>
    <row r="142" spans="1:2" x14ac:dyDescent="0.3">
      <c r="A142" s="47" t="s">
        <v>188</v>
      </c>
      <c r="B142" s="8" t="s">
        <v>634</v>
      </c>
    </row>
    <row r="143" spans="1:2" x14ac:dyDescent="0.3">
      <c r="A143" s="47" t="s">
        <v>188</v>
      </c>
      <c r="B143" s="8" t="s">
        <v>634</v>
      </c>
    </row>
    <row r="144" spans="1:2" x14ac:dyDescent="0.3">
      <c r="A144" s="47" t="s">
        <v>188</v>
      </c>
      <c r="B144" s="8" t="s">
        <v>634</v>
      </c>
    </row>
    <row r="145" spans="1:2" x14ac:dyDescent="0.3">
      <c r="A145" s="47" t="s">
        <v>188</v>
      </c>
      <c r="B145" s="8" t="s">
        <v>634</v>
      </c>
    </row>
    <row r="146" spans="1:2" x14ac:dyDescent="0.3">
      <c r="A146" s="47" t="s">
        <v>189</v>
      </c>
      <c r="B146" s="8" t="s">
        <v>634</v>
      </c>
    </row>
    <row r="147" spans="1:2" x14ac:dyDescent="0.3">
      <c r="A147" s="47" t="s">
        <v>192</v>
      </c>
      <c r="B147" s="8" t="s">
        <v>634</v>
      </c>
    </row>
    <row r="148" spans="1:2" x14ac:dyDescent="0.3">
      <c r="A148" s="47" t="s">
        <v>193</v>
      </c>
      <c r="B148" s="8" t="s">
        <v>634</v>
      </c>
    </row>
    <row r="149" spans="1:2" x14ac:dyDescent="0.3">
      <c r="A149" s="47" t="s">
        <v>190</v>
      </c>
      <c r="B149" s="8" t="s">
        <v>634</v>
      </c>
    </row>
    <row r="150" spans="1:2" x14ac:dyDescent="0.3">
      <c r="A150" s="47" t="s">
        <v>191</v>
      </c>
      <c r="B150" s="8" t="s">
        <v>634</v>
      </c>
    </row>
    <row r="151" spans="1:2" x14ac:dyDescent="0.3">
      <c r="A151" s="47" t="s">
        <v>195</v>
      </c>
      <c r="B151" s="8" t="s">
        <v>654</v>
      </c>
    </row>
    <row r="152" spans="1:2" x14ac:dyDescent="0.3">
      <c r="A152" s="47" t="s">
        <v>196</v>
      </c>
      <c r="B152" s="8" t="s">
        <v>654</v>
      </c>
    </row>
    <row r="153" spans="1:2" x14ac:dyDescent="0.3">
      <c r="A153" s="47" t="s">
        <v>194</v>
      </c>
      <c r="B153" s="8" t="s">
        <v>654</v>
      </c>
    </row>
    <row r="154" spans="1:2" x14ac:dyDescent="0.3">
      <c r="A154" s="47" t="s">
        <v>197</v>
      </c>
      <c r="B154" s="8" t="s">
        <v>654</v>
      </c>
    </row>
    <row r="155" spans="1:2" x14ac:dyDescent="0.3">
      <c r="A155" s="47" t="s">
        <v>198</v>
      </c>
      <c r="B155" s="8" t="s">
        <v>654</v>
      </c>
    </row>
    <row r="156" spans="1:2" x14ac:dyDescent="0.3">
      <c r="A156" s="47" t="s">
        <v>199</v>
      </c>
      <c r="B156" s="8" t="s">
        <v>654</v>
      </c>
    </row>
    <row r="157" spans="1:2" x14ac:dyDescent="0.3">
      <c r="A157" s="47" t="s">
        <v>200</v>
      </c>
      <c r="B157" s="8" t="s">
        <v>654</v>
      </c>
    </row>
    <row r="158" spans="1:2" x14ac:dyDescent="0.3">
      <c r="A158" s="47" t="s">
        <v>201</v>
      </c>
      <c r="B158" s="8" t="s">
        <v>654</v>
      </c>
    </row>
    <row r="159" spans="1:2" x14ac:dyDescent="0.3">
      <c r="A159" s="47" t="s">
        <v>201</v>
      </c>
      <c r="B159" s="8" t="s">
        <v>654</v>
      </c>
    </row>
    <row r="160" spans="1:2" x14ac:dyDescent="0.3">
      <c r="A160" s="47" t="s">
        <v>201</v>
      </c>
      <c r="B160" s="8" t="s">
        <v>654</v>
      </c>
    </row>
    <row r="161" spans="1:2" x14ac:dyDescent="0.3">
      <c r="A161" s="47" t="s">
        <v>201</v>
      </c>
      <c r="B161" s="8" t="s">
        <v>654</v>
      </c>
    </row>
    <row r="162" spans="1:2" x14ac:dyDescent="0.3">
      <c r="A162" s="47" t="s">
        <v>202</v>
      </c>
      <c r="B162" s="8" t="s">
        <v>654</v>
      </c>
    </row>
    <row r="163" spans="1:2" x14ac:dyDescent="0.3">
      <c r="A163" s="48" t="s">
        <v>203</v>
      </c>
      <c r="B163" s="8" t="s">
        <v>654</v>
      </c>
    </row>
    <row r="164" spans="1:2" x14ac:dyDescent="0.3">
      <c r="A164" s="48" t="s">
        <v>204</v>
      </c>
      <c r="B164" s="8" t="s">
        <v>654</v>
      </c>
    </row>
    <row r="165" spans="1:2" x14ac:dyDescent="0.3">
      <c r="A165" s="48" t="s">
        <v>205</v>
      </c>
      <c r="B165" s="8" t="s">
        <v>654</v>
      </c>
    </row>
    <row r="166" spans="1:2" x14ac:dyDescent="0.3">
      <c r="A166" s="48" t="s">
        <v>211</v>
      </c>
      <c r="B166" s="8" t="s">
        <v>654</v>
      </c>
    </row>
    <row r="167" spans="1:2" x14ac:dyDescent="0.3">
      <c r="A167" s="48" t="s">
        <v>212</v>
      </c>
      <c r="B167" s="8" t="s">
        <v>654</v>
      </c>
    </row>
    <row r="168" spans="1:2" x14ac:dyDescent="0.3">
      <c r="A168" s="48" t="s">
        <v>213</v>
      </c>
      <c r="B168" s="8" t="s">
        <v>654</v>
      </c>
    </row>
    <row r="169" spans="1:2" x14ac:dyDescent="0.3">
      <c r="A169" s="48" t="s">
        <v>214</v>
      </c>
      <c r="B169" s="8" t="s">
        <v>654</v>
      </c>
    </row>
    <row r="170" spans="1:2" x14ac:dyDescent="0.3">
      <c r="A170" s="48" t="s">
        <v>215</v>
      </c>
      <c r="B170" s="8" t="s">
        <v>654</v>
      </c>
    </row>
    <row r="171" spans="1:2" x14ac:dyDescent="0.3">
      <c r="A171" s="48" t="s">
        <v>216</v>
      </c>
      <c r="B171" s="8" t="s">
        <v>654</v>
      </c>
    </row>
    <row r="172" spans="1:2" x14ac:dyDescent="0.3">
      <c r="A172" s="48" t="s">
        <v>217</v>
      </c>
      <c r="B172" s="8" t="s">
        <v>654</v>
      </c>
    </row>
    <row r="173" spans="1:2" x14ac:dyDescent="0.3">
      <c r="A173" s="48" t="s">
        <v>218</v>
      </c>
      <c r="B173" s="8" t="s">
        <v>654</v>
      </c>
    </row>
    <row r="174" spans="1:2" x14ac:dyDescent="0.3">
      <c r="A174" s="48" t="s">
        <v>219</v>
      </c>
      <c r="B174" s="8" t="s">
        <v>654</v>
      </c>
    </row>
    <row r="175" spans="1:2" x14ac:dyDescent="0.3">
      <c r="A175" s="48" t="s">
        <v>220</v>
      </c>
      <c r="B175" s="8" t="s">
        <v>654</v>
      </c>
    </row>
    <row r="176" spans="1:2" x14ac:dyDescent="0.3">
      <c r="A176" s="48" t="s">
        <v>221</v>
      </c>
      <c r="B176" s="8" t="s">
        <v>654</v>
      </c>
    </row>
    <row r="177" spans="1:2" x14ac:dyDescent="0.3">
      <c r="A177" s="48" t="s">
        <v>222</v>
      </c>
      <c r="B177" s="8" t="s">
        <v>661</v>
      </c>
    </row>
    <row r="178" spans="1:2" x14ac:dyDescent="0.3">
      <c r="A178" s="48" t="s">
        <v>223</v>
      </c>
      <c r="B178" s="8" t="s">
        <v>661</v>
      </c>
    </row>
    <row r="179" spans="1:2" x14ac:dyDescent="0.3">
      <c r="A179" s="48" t="s">
        <v>224</v>
      </c>
      <c r="B179" s="8" t="s">
        <v>661</v>
      </c>
    </row>
    <row r="180" spans="1:2" x14ac:dyDescent="0.3">
      <c r="A180" s="48" t="s">
        <v>225</v>
      </c>
      <c r="B180" s="8" t="s">
        <v>661</v>
      </c>
    </row>
    <row r="181" spans="1:2" x14ac:dyDescent="0.3">
      <c r="A181" s="48" t="s">
        <v>226</v>
      </c>
      <c r="B181" s="8" t="s">
        <v>661</v>
      </c>
    </row>
    <row r="182" spans="1:2" x14ac:dyDescent="0.3">
      <c r="A182" s="48" t="s">
        <v>227</v>
      </c>
      <c r="B182" s="8" t="s">
        <v>661</v>
      </c>
    </row>
    <row r="183" spans="1:2" x14ac:dyDescent="0.3">
      <c r="A183" s="48" t="s">
        <v>297</v>
      </c>
      <c r="B183" s="8" t="s">
        <v>661</v>
      </c>
    </row>
    <row r="184" spans="1:2" x14ac:dyDescent="0.3">
      <c r="A184" s="48" t="s">
        <v>298</v>
      </c>
      <c r="B184" s="8" t="s">
        <v>661</v>
      </c>
    </row>
    <row r="185" spans="1:2" x14ac:dyDescent="0.3">
      <c r="A185" s="48" t="s">
        <v>299</v>
      </c>
      <c r="B185" s="8" t="s">
        <v>661</v>
      </c>
    </row>
    <row r="186" spans="1:2" x14ac:dyDescent="0.3">
      <c r="A186" s="48" t="s">
        <v>300</v>
      </c>
      <c r="B186" s="8" t="s">
        <v>661</v>
      </c>
    </row>
    <row r="187" spans="1:2" x14ac:dyDescent="0.3">
      <c r="A187" s="48" t="s">
        <v>301</v>
      </c>
      <c r="B187" s="8" t="s">
        <v>661</v>
      </c>
    </row>
    <row r="188" spans="1:2" x14ac:dyDescent="0.3">
      <c r="A188" s="48" t="s">
        <v>228</v>
      </c>
      <c r="B188" s="8" t="s">
        <v>661</v>
      </c>
    </row>
    <row r="189" spans="1:2" x14ac:dyDescent="0.3">
      <c r="A189" s="48" t="s">
        <v>229</v>
      </c>
      <c r="B189" s="8" t="s">
        <v>661</v>
      </c>
    </row>
    <row r="190" spans="1:2" x14ac:dyDescent="0.3">
      <c r="A190" s="48" t="s">
        <v>230</v>
      </c>
      <c r="B190" s="8" t="s">
        <v>661</v>
      </c>
    </row>
    <row r="191" spans="1:2" x14ac:dyDescent="0.3">
      <c r="A191" s="48" t="s">
        <v>231</v>
      </c>
      <c r="B191" s="8" t="s">
        <v>661</v>
      </c>
    </row>
    <row r="192" spans="1:2" x14ac:dyDescent="0.3">
      <c r="A192" s="48" t="s">
        <v>232</v>
      </c>
      <c r="B192" s="8" t="s">
        <v>661</v>
      </c>
    </row>
    <row r="193" spans="1:2" x14ac:dyDescent="0.3">
      <c r="A193" s="48" t="s">
        <v>233</v>
      </c>
      <c r="B193" s="8" t="s">
        <v>661</v>
      </c>
    </row>
    <row r="194" spans="1:2" x14ac:dyDescent="0.3">
      <c r="A194" s="48" t="s">
        <v>234</v>
      </c>
      <c r="B194" s="8" t="s">
        <v>661</v>
      </c>
    </row>
    <row r="195" spans="1:2" x14ac:dyDescent="0.3">
      <c r="A195" s="48" t="s">
        <v>235</v>
      </c>
      <c r="B195" s="8" t="s">
        <v>661</v>
      </c>
    </row>
    <row r="196" spans="1:2" x14ac:dyDescent="0.3">
      <c r="A196" s="48" t="s">
        <v>236</v>
      </c>
      <c r="B196" s="8" t="s">
        <v>661</v>
      </c>
    </row>
    <row r="197" spans="1:2" x14ac:dyDescent="0.3">
      <c r="A197" s="48" t="s">
        <v>237</v>
      </c>
      <c r="B197" s="8" t="s">
        <v>661</v>
      </c>
    </row>
    <row r="198" spans="1:2" x14ac:dyDescent="0.3">
      <c r="A198" s="48" t="s">
        <v>239</v>
      </c>
      <c r="B198" s="8" t="s">
        <v>661</v>
      </c>
    </row>
    <row r="199" spans="1:2" x14ac:dyDescent="0.3">
      <c r="A199" s="48" t="s">
        <v>400</v>
      </c>
      <c r="B199" s="8" t="s">
        <v>661</v>
      </c>
    </row>
    <row r="200" spans="1:2" x14ac:dyDescent="0.3">
      <c r="A200" s="48" t="s">
        <v>401</v>
      </c>
      <c r="B200" s="8" t="s">
        <v>661</v>
      </c>
    </row>
    <row r="201" spans="1:2" x14ac:dyDescent="0.3">
      <c r="A201" s="48" t="s">
        <v>240</v>
      </c>
      <c r="B201" s="8" t="s">
        <v>661</v>
      </c>
    </row>
    <row r="202" spans="1:2" x14ac:dyDescent="0.3">
      <c r="A202" s="48" t="s">
        <v>402</v>
      </c>
      <c r="B202" s="8" t="s">
        <v>661</v>
      </c>
    </row>
    <row r="203" spans="1:2" x14ac:dyDescent="0.3">
      <c r="A203" s="47" t="s">
        <v>667</v>
      </c>
      <c r="B203" s="8" t="s">
        <v>661</v>
      </c>
    </row>
    <row r="204" spans="1:2" x14ac:dyDescent="0.3">
      <c r="A204" s="47" t="s">
        <v>669</v>
      </c>
      <c r="B204" s="8" t="s">
        <v>661</v>
      </c>
    </row>
    <row r="205" spans="1:2" x14ac:dyDescent="0.3">
      <c r="A205" s="47" t="s">
        <v>670</v>
      </c>
      <c r="B205" s="8" t="s">
        <v>661</v>
      </c>
    </row>
    <row r="206" spans="1:2" x14ac:dyDescent="0.3">
      <c r="A206" s="47" t="s">
        <v>671</v>
      </c>
      <c r="B206" s="8" t="s">
        <v>661</v>
      </c>
    </row>
    <row r="207" spans="1:2" x14ac:dyDescent="0.3">
      <c r="A207" s="47" t="s">
        <v>672</v>
      </c>
      <c r="B207" s="8" t="s">
        <v>661</v>
      </c>
    </row>
    <row r="208" spans="1:2" x14ac:dyDescent="0.3">
      <c r="A208" s="47" t="s">
        <v>673</v>
      </c>
      <c r="B208" s="8" t="s">
        <v>661</v>
      </c>
    </row>
    <row r="209" spans="1:2" x14ac:dyDescent="0.3">
      <c r="A209" s="48" t="s">
        <v>304</v>
      </c>
      <c r="B209" s="8" t="s">
        <v>661</v>
      </c>
    </row>
    <row r="210" spans="1:2" x14ac:dyDescent="0.3">
      <c r="A210" s="48" t="s">
        <v>305</v>
      </c>
      <c r="B210" s="8" t="s">
        <v>661</v>
      </c>
    </row>
    <row r="211" spans="1:2" x14ac:dyDescent="0.3">
      <c r="A211" s="48" t="s">
        <v>306</v>
      </c>
      <c r="B211" s="8" t="s">
        <v>661</v>
      </c>
    </row>
    <row r="212" spans="1:2" x14ac:dyDescent="0.3">
      <c r="A212" s="48" t="s">
        <v>307</v>
      </c>
      <c r="B212" s="8" t="s">
        <v>661</v>
      </c>
    </row>
    <row r="213" spans="1:2" x14ac:dyDescent="0.3">
      <c r="A213" s="48" t="s">
        <v>308</v>
      </c>
      <c r="B213" s="8" t="s">
        <v>661</v>
      </c>
    </row>
    <row r="214" spans="1:2" x14ac:dyDescent="0.3">
      <c r="A214" s="48" t="s">
        <v>309</v>
      </c>
      <c r="B214" s="8" t="s">
        <v>661</v>
      </c>
    </row>
    <row r="215" spans="1:2" x14ac:dyDescent="0.3">
      <c r="A215" s="48" t="s">
        <v>409</v>
      </c>
      <c r="B215" s="8" t="s">
        <v>661</v>
      </c>
    </row>
    <row r="216" spans="1:2" x14ac:dyDescent="0.3">
      <c r="A216" s="48" t="s">
        <v>244</v>
      </c>
      <c r="B216" s="8" t="s">
        <v>661</v>
      </c>
    </row>
    <row r="217" spans="1:2" x14ac:dyDescent="0.3">
      <c r="A217" s="48" t="s">
        <v>245</v>
      </c>
      <c r="B217" s="8" t="s">
        <v>661</v>
      </c>
    </row>
    <row r="218" spans="1:2" x14ac:dyDescent="0.3">
      <c r="A218" s="48" t="s">
        <v>249</v>
      </c>
      <c r="B218" s="8" t="s">
        <v>661</v>
      </c>
    </row>
    <row r="219" spans="1:2" x14ac:dyDescent="0.3">
      <c r="A219" s="48" t="s">
        <v>410</v>
      </c>
      <c r="B219" s="8" t="s">
        <v>661</v>
      </c>
    </row>
    <row r="220" spans="1:2" x14ac:dyDescent="0.3">
      <c r="A220" s="48" t="s">
        <v>411</v>
      </c>
      <c r="B220" s="8" t="s">
        <v>661</v>
      </c>
    </row>
    <row r="221" spans="1:2" x14ac:dyDescent="0.3">
      <c r="A221" s="48" t="s">
        <v>250</v>
      </c>
      <c r="B221" s="8" t="s">
        <v>661</v>
      </c>
    </row>
    <row r="222" spans="1:2" x14ac:dyDescent="0.3">
      <c r="A222" s="48" t="s">
        <v>254</v>
      </c>
      <c r="B222" s="8" t="s">
        <v>661</v>
      </c>
    </row>
    <row r="223" spans="1:2" x14ac:dyDescent="0.3">
      <c r="A223" s="48" t="s">
        <v>254</v>
      </c>
      <c r="B223" s="8" t="s">
        <v>661</v>
      </c>
    </row>
    <row r="224" spans="1:2" x14ac:dyDescent="0.3">
      <c r="A224" s="48" t="s">
        <v>255</v>
      </c>
      <c r="B224" s="8" t="s">
        <v>661</v>
      </c>
    </row>
    <row r="225" spans="1:2" x14ac:dyDescent="0.3">
      <c r="A225" s="48" t="s">
        <v>256</v>
      </c>
      <c r="B225" s="8" t="s">
        <v>661</v>
      </c>
    </row>
    <row r="226" spans="1:2" x14ac:dyDescent="0.3">
      <c r="A226" s="48" t="s">
        <v>257</v>
      </c>
      <c r="B226" s="8" t="s">
        <v>661</v>
      </c>
    </row>
    <row r="227" spans="1:2" x14ac:dyDescent="0.3">
      <c r="A227" s="48" t="s">
        <v>258</v>
      </c>
      <c r="B227" s="8" t="s">
        <v>661</v>
      </c>
    </row>
    <row r="228" spans="1:2" x14ac:dyDescent="0.3">
      <c r="A228" s="48" t="s">
        <v>259</v>
      </c>
      <c r="B228" s="8" t="s">
        <v>661</v>
      </c>
    </row>
    <row r="229" spans="1:2" x14ac:dyDescent="0.3">
      <c r="A229" s="48" t="s">
        <v>260</v>
      </c>
      <c r="B229" s="8" t="s">
        <v>661</v>
      </c>
    </row>
    <row r="230" spans="1:2" x14ac:dyDescent="0.3">
      <c r="A230" s="48" t="s">
        <v>261</v>
      </c>
      <c r="B230" s="8" t="s">
        <v>661</v>
      </c>
    </row>
    <row r="231" spans="1:2" x14ac:dyDescent="0.3">
      <c r="A231" s="48" t="s">
        <v>262</v>
      </c>
      <c r="B231" s="8" t="s">
        <v>661</v>
      </c>
    </row>
    <row r="232" spans="1:2" x14ac:dyDescent="0.3">
      <c r="A232" s="48" t="s">
        <v>263</v>
      </c>
      <c r="B232" s="8" t="s">
        <v>661</v>
      </c>
    </row>
    <row r="233" spans="1:2" x14ac:dyDescent="0.3">
      <c r="A233" s="48" t="s">
        <v>262</v>
      </c>
      <c r="B233" s="8" t="s">
        <v>661</v>
      </c>
    </row>
    <row r="234" spans="1:2" x14ac:dyDescent="0.3">
      <c r="A234" s="48" t="s">
        <v>262</v>
      </c>
      <c r="B234" s="8" t="s">
        <v>661</v>
      </c>
    </row>
    <row r="235" spans="1:2" x14ac:dyDescent="0.3">
      <c r="A235" s="48" t="s">
        <v>264</v>
      </c>
      <c r="B235" s="8" t="s">
        <v>661</v>
      </c>
    </row>
    <row r="236" spans="1:2" x14ac:dyDescent="0.3">
      <c r="A236" s="48" t="s">
        <v>265</v>
      </c>
      <c r="B236" s="8" t="s">
        <v>661</v>
      </c>
    </row>
    <row r="237" spans="1:2" x14ac:dyDescent="0.3">
      <c r="A237" s="48" t="s">
        <v>266</v>
      </c>
      <c r="B237" s="8" t="s">
        <v>661</v>
      </c>
    </row>
    <row r="238" spans="1:2" x14ac:dyDescent="0.3">
      <c r="A238" s="48" t="s">
        <v>418</v>
      </c>
      <c r="B238" s="8" t="s">
        <v>661</v>
      </c>
    </row>
    <row r="239" spans="1:2" x14ac:dyDescent="0.3">
      <c r="A239" s="48" t="s">
        <v>268</v>
      </c>
      <c r="B239" s="8" t="s">
        <v>661</v>
      </c>
    </row>
    <row r="240" spans="1:2" x14ac:dyDescent="0.3">
      <c r="A240" s="48" t="s">
        <v>269</v>
      </c>
      <c r="B240" s="8" t="s">
        <v>661</v>
      </c>
    </row>
    <row r="241" spans="1:2" x14ac:dyDescent="0.3">
      <c r="A241" s="48" t="s">
        <v>270</v>
      </c>
      <c r="B241" s="8" t="s">
        <v>661</v>
      </c>
    </row>
    <row r="242" spans="1:2" x14ac:dyDescent="0.3">
      <c r="A242" s="48" t="s">
        <v>271</v>
      </c>
      <c r="B242" s="8" t="s">
        <v>661</v>
      </c>
    </row>
    <row r="243" spans="1:2" x14ac:dyDescent="0.3">
      <c r="A243" s="48" t="s">
        <v>272</v>
      </c>
      <c r="B243" s="8" t="s">
        <v>661</v>
      </c>
    </row>
    <row r="244" spans="1:2" x14ac:dyDescent="0.3">
      <c r="A244" s="48" t="s">
        <v>420</v>
      </c>
      <c r="B244" s="8" t="s">
        <v>661</v>
      </c>
    </row>
    <row r="245" spans="1:2" x14ac:dyDescent="0.3">
      <c r="A245" s="48" t="s">
        <v>273</v>
      </c>
      <c r="B245" s="8" t="s">
        <v>661</v>
      </c>
    </row>
    <row r="246" spans="1:2" x14ac:dyDescent="0.3">
      <c r="A246" s="48" t="s">
        <v>275</v>
      </c>
      <c r="B246" s="8" t="s">
        <v>661</v>
      </c>
    </row>
    <row r="247" spans="1:2" x14ac:dyDescent="0.3">
      <c r="A247" s="48" t="s">
        <v>276</v>
      </c>
      <c r="B247" s="8" t="s">
        <v>661</v>
      </c>
    </row>
    <row r="248" spans="1:2" x14ac:dyDescent="0.3">
      <c r="A248" s="48" t="s">
        <v>277</v>
      </c>
      <c r="B248" s="8" t="s">
        <v>661</v>
      </c>
    </row>
    <row r="249" spans="1:2" x14ac:dyDescent="0.3">
      <c r="A249" s="48" t="s">
        <v>278</v>
      </c>
      <c r="B249" s="8" t="s">
        <v>661</v>
      </c>
    </row>
    <row r="250" spans="1:2" x14ac:dyDescent="0.3">
      <c r="A250" s="48" t="s">
        <v>279</v>
      </c>
      <c r="B250" s="8" t="s">
        <v>661</v>
      </c>
    </row>
    <row r="251" spans="1:2" x14ac:dyDescent="0.3">
      <c r="A251" s="47" t="s">
        <v>680</v>
      </c>
      <c r="B251" s="8" t="s">
        <v>661</v>
      </c>
    </row>
    <row r="252" spans="1:2" x14ac:dyDescent="0.3">
      <c r="A252" s="47" t="s">
        <v>681</v>
      </c>
      <c r="B252" s="8" t="s">
        <v>661</v>
      </c>
    </row>
    <row r="253" spans="1:2" x14ac:dyDescent="0.3">
      <c r="A253" s="47" t="s">
        <v>682</v>
      </c>
      <c r="B253" s="8" t="s">
        <v>661</v>
      </c>
    </row>
    <row r="254" spans="1:2" x14ac:dyDescent="0.3">
      <c r="A254" s="47" t="s">
        <v>683</v>
      </c>
      <c r="B254" s="8" t="s">
        <v>661</v>
      </c>
    </row>
    <row r="255" spans="1:2" x14ac:dyDescent="0.3">
      <c r="A255" s="47" t="s">
        <v>684</v>
      </c>
      <c r="B255" s="8" t="s">
        <v>661</v>
      </c>
    </row>
    <row r="256" spans="1:2" x14ac:dyDescent="0.3">
      <c r="A256" s="47" t="s">
        <v>685</v>
      </c>
      <c r="B256" s="8" t="s">
        <v>661</v>
      </c>
    </row>
    <row r="257" spans="1:2" x14ac:dyDescent="0.3">
      <c r="A257" s="47" t="s">
        <v>686</v>
      </c>
      <c r="B257" s="8" t="s">
        <v>661</v>
      </c>
    </row>
    <row r="258" spans="1:2" x14ac:dyDescent="0.3">
      <c r="A258" s="47" t="s">
        <v>687</v>
      </c>
      <c r="B258" s="8" t="s">
        <v>661</v>
      </c>
    </row>
    <row r="259" spans="1:2" x14ac:dyDescent="0.3">
      <c r="A259" s="47" t="s">
        <v>690</v>
      </c>
      <c r="B259" s="8" t="s">
        <v>661</v>
      </c>
    </row>
    <row r="260" spans="1:2" x14ac:dyDescent="0.3">
      <c r="A260" s="47" t="s">
        <v>691</v>
      </c>
      <c r="B260" s="8" t="s">
        <v>661</v>
      </c>
    </row>
    <row r="261" spans="1:2" x14ac:dyDescent="0.3">
      <c r="A261" s="47" t="s">
        <v>692</v>
      </c>
      <c r="B261" s="8" t="s">
        <v>695</v>
      </c>
    </row>
    <row r="262" spans="1:2" x14ac:dyDescent="0.3">
      <c r="A262" s="47" t="s">
        <v>696</v>
      </c>
      <c r="B262" s="8" t="s">
        <v>695</v>
      </c>
    </row>
    <row r="263" spans="1:2" x14ac:dyDescent="0.3">
      <c r="A263" s="47" t="s">
        <v>697</v>
      </c>
      <c r="B263" s="8" t="s">
        <v>695</v>
      </c>
    </row>
    <row r="264" spans="1:2" x14ac:dyDescent="0.3">
      <c r="A264" s="47" t="s">
        <v>698</v>
      </c>
      <c r="B264" s="8" t="s">
        <v>695</v>
      </c>
    </row>
    <row r="265" spans="1:2" x14ac:dyDescent="0.3">
      <c r="A265" s="47" t="s">
        <v>699</v>
      </c>
      <c r="B265" s="8" t="s">
        <v>695</v>
      </c>
    </row>
    <row r="266" spans="1:2" x14ac:dyDescent="0.3">
      <c r="A266" s="47" t="s">
        <v>700</v>
      </c>
      <c r="B266" s="8" t="s">
        <v>695</v>
      </c>
    </row>
    <row r="267" spans="1:2" x14ac:dyDescent="0.3">
      <c r="A267" s="47" t="s">
        <v>701</v>
      </c>
      <c r="B267" s="8" t="s">
        <v>695</v>
      </c>
    </row>
    <row r="268" spans="1:2" x14ac:dyDescent="0.3">
      <c r="A268" s="47" t="s">
        <v>704</v>
      </c>
      <c r="B268" s="8" t="s">
        <v>695</v>
      </c>
    </row>
    <row r="269" spans="1:2" x14ac:dyDescent="0.3">
      <c r="A269" s="47" t="s">
        <v>705</v>
      </c>
      <c r="B269" s="8" t="s">
        <v>695</v>
      </c>
    </row>
    <row r="270" spans="1:2" x14ac:dyDescent="0.3">
      <c r="A270" s="47" t="s">
        <v>706</v>
      </c>
      <c r="B270" s="8" t="s">
        <v>695</v>
      </c>
    </row>
    <row r="271" spans="1:2" x14ac:dyDescent="0.3">
      <c r="A271" s="47" t="s">
        <v>708</v>
      </c>
      <c r="B271" s="8" t="s">
        <v>695</v>
      </c>
    </row>
    <row r="272" spans="1:2" x14ac:dyDescent="0.3">
      <c r="A272" s="47" t="s">
        <v>709</v>
      </c>
      <c r="B272" s="8" t="s">
        <v>695</v>
      </c>
    </row>
    <row r="273" spans="1:2" x14ac:dyDescent="0.3">
      <c r="A273" s="47" t="s">
        <v>710</v>
      </c>
      <c r="B273" s="8" t="s">
        <v>695</v>
      </c>
    </row>
    <row r="274" spans="1:2" x14ac:dyDescent="0.3">
      <c r="A274" s="47" t="s">
        <v>711</v>
      </c>
      <c r="B274" s="8" t="s">
        <v>695</v>
      </c>
    </row>
    <row r="275" spans="1:2" x14ac:dyDescent="0.3">
      <c r="A275" s="47" t="s">
        <v>712</v>
      </c>
      <c r="B275" s="8" t="s">
        <v>695</v>
      </c>
    </row>
    <row r="276" spans="1:2" x14ac:dyDescent="0.3">
      <c r="A276" s="47" t="s">
        <v>713</v>
      </c>
      <c r="B276" s="8" t="s">
        <v>695</v>
      </c>
    </row>
    <row r="277" spans="1:2" x14ac:dyDescent="0.3">
      <c r="A277" s="47" t="s">
        <v>714</v>
      </c>
      <c r="B277" s="8" t="s">
        <v>695</v>
      </c>
    </row>
    <row r="278" spans="1:2" x14ac:dyDescent="0.3">
      <c r="A278" s="47" t="s">
        <v>717</v>
      </c>
      <c r="B278" s="8" t="s">
        <v>695</v>
      </c>
    </row>
    <row r="279" spans="1:2" ht="15.6" x14ac:dyDescent="0.3">
      <c r="A279" s="17"/>
      <c r="B279" s="16"/>
    </row>
    <row r="280" spans="1:2" ht="15.6" x14ac:dyDescent="0.3">
      <c r="A280" s="17"/>
      <c r="B280" s="16"/>
    </row>
    <row r="281" spans="1:2" ht="16.2" thickBot="1" x14ac:dyDescent="0.35">
      <c r="A281" s="18"/>
      <c r="B281" s="16"/>
    </row>
    <row r="282" spans="1:2" ht="16.2" thickBot="1" x14ac:dyDescent="0.35">
      <c r="A282" s="13"/>
      <c r="B282" s="16"/>
    </row>
    <row r="283" spans="1:2" ht="16.2" thickBot="1" x14ac:dyDescent="0.35">
      <c r="A283" s="14"/>
      <c r="B283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1E969-339D-4253-892A-F6FC55B995AB}">
  <dimension ref="A1:K550"/>
  <sheetViews>
    <sheetView topLeftCell="A116" zoomScale="85" zoomScaleNormal="85" workbookViewId="0">
      <selection activeCell="H119" sqref="H119:H122"/>
    </sheetView>
  </sheetViews>
  <sheetFormatPr defaultRowHeight="14.4" x14ac:dyDescent="0.3"/>
  <cols>
    <col min="1" max="1" width="14.21875" style="1" bestFit="1" customWidth="1"/>
    <col min="2" max="2" width="16.33203125" style="1" bestFit="1" customWidth="1"/>
    <col min="3" max="7" width="14" style="1" bestFit="1" customWidth="1"/>
    <col min="8" max="8" width="9.77734375" bestFit="1" customWidth="1"/>
    <col min="9" max="9" width="12.44140625" customWidth="1"/>
  </cols>
  <sheetData>
    <row r="1" spans="1:11" ht="42.75" customHeight="1" x14ac:dyDescent="0.3">
      <c r="A1" s="55" t="s">
        <v>59</v>
      </c>
      <c r="B1" s="55" t="s">
        <v>60</v>
      </c>
      <c r="C1" s="53" t="s">
        <v>312</v>
      </c>
      <c r="D1" s="53" t="s">
        <v>313</v>
      </c>
      <c r="E1" s="53" t="s">
        <v>314</v>
      </c>
      <c r="F1" s="53" t="s">
        <v>315</v>
      </c>
      <c r="G1" s="53" t="s">
        <v>316</v>
      </c>
      <c r="H1" s="54" t="s">
        <v>61</v>
      </c>
      <c r="I1" s="46" t="s">
        <v>731</v>
      </c>
      <c r="J1" s="46" t="s">
        <v>462</v>
      </c>
      <c r="K1" s="61"/>
    </row>
    <row r="2" spans="1:11" x14ac:dyDescent="0.3">
      <c r="A2" s="9" t="s">
        <v>1</v>
      </c>
      <c r="B2" s="47" t="s">
        <v>64</v>
      </c>
      <c r="C2" s="41" t="s">
        <v>596</v>
      </c>
      <c r="D2" s="41" t="s">
        <v>598</v>
      </c>
      <c r="E2" s="41" t="s">
        <v>594</v>
      </c>
      <c r="F2" s="41"/>
      <c r="G2" s="41"/>
      <c r="H2" s="10">
        <v>5.8</v>
      </c>
      <c r="I2" s="54">
        <f>VLOOKUP(A2,İstasyonlar!$A$2:$D$776,4,0)</f>
        <v>999999999</v>
      </c>
      <c r="J2" s="54">
        <v>1</v>
      </c>
      <c r="K2" t="str">
        <f t="shared" ref="K2:K65" si="0">IF(I2=1000000,"","Sabit")</f>
        <v>Sabit</v>
      </c>
    </row>
    <row r="3" spans="1:11" x14ac:dyDescent="0.3">
      <c r="A3" s="9" t="s">
        <v>1</v>
      </c>
      <c r="B3" s="47" t="s">
        <v>65</v>
      </c>
      <c r="C3" s="41" t="s">
        <v>596</v>
      </c>
      <c r="D3" s="41" t="s">
        <v>598</v>
      </c>
      <c r="E3" s="41" t="s">
        <v>594</v>
      </c>
      <c r="F3" s="41"/>
      <c r="G3" s="41"/>
      <c r="H3" s="10">
        <v>6.4</v>
      </c>
      <c r="I3" s="54">
        <f>VLOOKUP(A3,İstasyonlar!$A$2:$D$776,4,0)</f>
        <v>999999999</v>
      </c>
      <c r="J3" s="54">
        <f t="shared" ref="J3:J66" si="1">IF(A3=A2, J2, J2+1)</f>
        <v>1</v>
      </c>
      <c r="K3" t="str">
        <f t="shared" si="0"/>
        <v>Sabit</v>
      </c>
    </row>
    <row r="4" spans="1:11" x14ac:dyDescent="0.3">
      <c r="A4" s="9" t="s">
        <v>2</v>
      </c>
      <c r="B4" s="47" t="s">
        <v>286</v>
      </c>
      <c r="C4" s="41" t="s">
        <v>598</v>
      </c>
      <c r="D4" s="41" t="s">
        <v>596</v>
      </c>
      <c r="E4" s="41"/>
      <c r="F4" s="41"/>
      <c r="G4" s="41"/>
      <c r="H4" s="10">
        <v>6.1</v>
      </c>
      <c r="I4" s="54">
        <f>VLOOKUP(A4,İstasyonlar!$A$2:$D$776,4,0)</f>
        <v>999999999</v>
      </c>
      <c r="J4" s="54">
        <f t="shared" si="1"/>
        <v>2</v>
      </c>
      <c r="K4" t="str">
        <f t="shared" si="0"/>
        <v>Sabit</v>
      </c>
    </row>
    <row r="5" spans="1:11" x14ac:dyDescent="0.3">
      <c r="A5" s="9" t="s">
        <v>2</v>
      </c>
      <c r="B5" s="47" t="s">
        <v>287</v>
      </c>
      <c r="C5" s="41" t="s">
        <v>598</v>
      </c>
      <c r="D5" s="41" t="s">
        <v>596</v>
      </c>
      <c r="E5" s="41"/>
      <c r="F5" s="41"/>
      <c r="G5" s="41"/>
      <c r="H5" s="10">
        <v>6.4</v>
      </c>
      <c r="I5" s="54">
        <f>VLOOKUP(A5,İstasyonlar!$A$2:$D$776,4,0)</f>
        <v>999999999</v>
      </c>
      <c r="J5" s="54">
        <f t="shared" si="1"/>
        <v>2</v>
      </c>
      <c r="K5" t="str">
        <f t="shared" si="0"/>
        <v>Sabit</v>
      </c>
    </row>
    <row r="6" spans="1:11" x14ac:dyDescent="0.3">
      <c r="A6" s="9" t="s">
        <v>2</v>
      </c>
      <c r="B6" s="47" t="s">
        <v>288</v>
      </c>
      <c r="C6" s="41" t="s">
        <v>598</v>
      </c>
      <c r="D6" s="41" t="s">
        <v>596</v>
      </c>
      <c r="E6" s="41"/>
      <c r="F6" s="41"/>
      <c r="G6" s="41"/>
      <c r="H6" s="10">
        <v>1</v>
      </c>
      <c r="I6" s="54">
        <f>VLOOKUP(A6,İstasyonlar!$A$2:$D$776,4,0)</f>
        <v>999999999</v>
      </c>
      <c r="J6" s="54">
        <f t="shared" si="1"/>
        <v>2</v>
      </c>
      <c r="K6" t="str">
        <f t="shared" si="0"/>
        <v>Sabit</v>
      </c>
    </row>
    <row r="7" spans="1:11" x14ac:dyDescent="0.3">
      <c r="A7" s="9" t="s">
        <v>3</v>
      </c>
      <c r="B7" s="47" t="s">
        <v>66</v>
      </c>
      <c r="C7" s="41" t="s">
        <v>599</v>
      </c>
      <c r="D7" s="41" t="s">
        <v>600</v>
      </c>
      <c r="E7" s="41"/>
      <c r="F7" s="41"/>
      <c r="G7" s="41"/>
      <c r="H7" s="10">
        <v>9.5</v>
      </c>
      <c r="I7" s="54">
        <f>VLOOKUP(A7,İstasyonlar!$A$2:$D$776,4,0)</f>
        <v>1000000</v>
      </c>
      <c r="J7" s="54">
        <f t="shared" si="1"/>
        <v>3</v>
      </c>
      <c r="K7" t="str">
        <f t="shared" si="0"/>
        <v/>
      </c>
    </row>
    <row r="8" spans="1:11" x14ac:dyDescent="0.3">
      <c r="A8" s="9" t="s">
        <v>3</v>
      </c>
      <c r="B8" s="47" t="s">
        <v>67</v>
      </c>
      <c r="C8" s="41" t="s">
        <v>599</v>
      </c>
      <c r="D8" s="41" t="s">
        <v>600</v>
      </c>
      <c r="E8" s="41"/>
      <c r="F8" s="41"/>
      <c r="G8" s="41"/>
      <c r="H8" s="10">
        <v>3.1</v>
      </c>
      <c r="I8" s="54">
        <f>VLOOKUP(A8,İstasyonlar!$A$2:$D$776,4,0)</f>
        <v>1000000</v>
      </c>
      <c r="J8" s="54">
        <f t="shared" si="1"/>
        <v>3</v>
      </c>
      <c r="K8" t="str">
        <f t="shared" si="0"/>
        <v/>
      </c>
    </row>
    <row r="9" spans="1:11" x14ac:dyDescent="0.3">
      <c r="A9" s="9" t="s">
        <v>5</v>
      </c>
      <c r="B9" s="47" t="s">
        <v>68</v>
      </c>
      <c r="C9" s="41" t="s">
        <v>601</v>
      </c>
      <c r="D9" s="41" t="s">
        <v>602</v>
      </c>
      <c r="E9" s="41" t="s">
        <v>595</v>
      </c>
      <c r="F9" s="41"/>
      <c r="G9" s="41"/>
      <c r="H9" s="10">
        <v>6.5</v>
      </c>
      <c r="I9" s="54">
        <f>VLOOKUP(A9,İstasyonlar!$A$2:$D$776,4,0)</f>
        <v>1000000</v>
      </c>
      <c r="J9" s="54">
        <f t="shared" si="1"/>
        <v>4</v>
      </c>
      <c r="K9" t="str">
        <f t="shared" si="0"/>
        <v/>
      </c>
    </row>
    <row r="10" spans="1:11" x14ac:dyDescent="0.3">
      <c r="A10" s="9" t="s">
        <v>5</v>
      </c>
      <c r="B10" s="47" t="s">
        <v>69</v>
      </c>
      <c r="C10" s="41" t="s">
        <v>601</v>
      </c>
      <c r="D10" s="41" t="s">
        <v>602</v>
      </c>
      <c r="E10" s="41" t="s">
        <v>595</v>
      </c>
      <c r="F10" s="41"/>
      <c r="G10" s="41"/>
      <c r="H10" s="10">
        <v>3.1</v>
      </c>
      <c r="I10" s="54">
        <f>VLOOKUP(A10,İstasyonlar!$A$2:$D$776,4,0)</f>
        <v>1000000</v>
      </c>
      <c r="J10" s="54">
        <f t="shared" si="1"/>
        <v>4</v>
      </c>
      <c r="K10" t="str">
        <f t="shared" si="0"/>
        <v/>
      </c>
    </row>
    <row r="11" spans="1:11" x14ac:dyDescent="0.3">
      <c r="A11" s="9" t="s">
        <v>5</v>
      </c>
      <c r="B11" s="47" t="s">
        <v>70</v>
      </c>
      <c r="C11" s="41" t="s">
        <v>601</v>
      </c>
      <c r="D11" s="41" t="s">
        <v>602</v>
      </c>
      <c r="E11" s="41" t="s">
        <v>595</v>
      </c>
      <c r="F11" s="41"/>
      <c r="G11" s="41"/>
      <c r="H11" s="10">
        <v>0.3</v>
      </c>
      <c r="I11" s="54">
        <f>VLOOKUP(A11,İstasyonlar!$A$2:$D$776,4,0)</f>
        <v>1000000</v>
      </c>
      <c r="J11" s="54">
        <f t="shared" si="1"/>
        <v>4</v>
      </c>
      <c r="K11" t="str">
        <f t="shared" si="0"/>
        <v/>
      </c>
    </row>
    <row r="12" spans="1:11" x14ac:dyDescent="0.3">
      <c r="A12" s="9" t="s">
        <v>4</v>
      </c>
      <c r="B12" s="47" t="s">
        <v>71</v>
      </c>
      <c r="C12" s="41" t="s">
        <v>605</v>
      </c>
      <c r="D12" s="41" t="s">
        <v>644</v>
      </c>
      <c r="E12" s="41" t="s">
        <v>604</v>
      </c>
      <c r="F12" s="41"/>
      <c r="G12" s="41"/>
      <c r="H12" s="10">
        <v>2.37</v>
      </c>
      <c r="I12" s="54">
        <f>VLOOKUP(A12,İstasyonlar!$A$2:$D$776,4,0)</f>
        <v>1000000</v>
      </c>
      <c r="J12" s="54">
        <f t="shared" si="1"/>
        <v>5</v>
      </c>
      <c r="K12" t="str">
        <f t="shared" si="0"/>
        <v/>
      </c>
    </row>
    <row r="13" spans="1:11" x14ac:dyDescent="0.3">
      <c r="A13" s="9" t="s">
        <v>4</v>
      </c>
      <c r="B13" s="47" t="s">
        <v>72</v>
      </c>
      <c r="C13" s="41" t="s">
        <v>605</v>
      </c>
      <c r="D13" s="41" t="s">
        <v>644</v>
      </c>
      <c r="E13" s="41" t="s">
        <v>604</v>
      </c>
      <c r="F13" s="41"/>
      <c r="G13" s="41"/>
      <c r="H13" s="10">
        <v>9.1</v>
      </c>
      <c r="I13" s="54">
        <f>VLOOKUP(A13,İstasyonlar!$A$2:$D$776,4,0)</f>
        <v>1000000</v>
      </c>
      <c r="J13" s="54">
        <f t="shared" si="1"/>
        <v>5</v>
      </c>
      <c r="K13" t="str">
        <f t="shared" si="0"/>
        <v/>
      </c>
    </row>
    <row r="14" spans="1:11" x14ac:dyDescent="0.3">
      <c r="A14" s="9" t="s">
        <v>289</v>
      </c>
      <c r="B14" s="47" t="s">
        <v>302</v>
      </c>
      <c r="C14" s="41" t="s">
        <v>604</v>
      </c>
      <c r="D14" s="41" t="s">
        <v>605</v>
      </c>
      <c r="E14" s="41"/>
      <c r="F14" s="41"/>
      <c r="G14" s="41"/>
      <c r="H14" s="10">
        <v>4.3</v>
      </c>
      <c r="I14" s="54">
        <f>VLOOKUP(A14,İstasyonlar!$A$2:$D$776,4,0)</f>
        <v>1000000</v>
      </c>
      <c r="J14" s="54">
        <f t="shared" si="1"/>
        <v>6</v>
      </c>
      <c r="K14" t="str">
        <f t="shared" si="0"/>
        <v/>
      </c>
    </row>
    <row r="15" spans="1:11" x14ac:dyDescent="0.3">
      <c r="A15" s="9" t="s">
        <v>289</v>
      </c>
      <c r="B15" s="47" t="s">
        <v>303</v>
      </c>
      <c r="C15" s="41" t="s">
        <v>604</v>
      </c>
      <c r="D15" s="41" t="s">
        <v>605</v>
      </c>
      <c r="E15" s="41"/>
      <c r="F15" s="41"/>
      <c r="G15" s="41"/>
      <c r="H15" s="10">
        <v>4.3</v>
      </c>
      <c r="I15" s="54">
        <f>VLOOKUP(A15,İstasyonlar!$A$2:$D$776,4,0)</f>
        <v>1000000</v>
      </c>
      <c r="J15" s="54">
        <f t="shared" si="1"/>
        <v>6</v>
      </c>
      <c r="K15" t="str">
        <f t="shared" si="0"/>
        <v/>
      </c>
    </row>
    <row r="16" spans="1:11" x14ac:dyDescent="0.3">
      <c r="A16" s="9" t="s">
        <v>6</v>
      </c>
      <c r="B16" s="47" t="s">
        <v>73</v>
      </c>
      <c r="C16" s="41" t="s">
        <v>606</v>
      </c>
      <c r="D16" s="41" t="s">
        <v>599</v>
      </c>
      <c r="E16" s="41"/>
      <c r="F16" s="41"/>
      <c r="G16" s="41"/>
      <c r="H16" s="10">
        <v>5.3</v>
      </c>
      <c r="I16" s="54">
        <f>VLOOKUP(A16,İstasyonlar!$A$2:$D$776,4,0)</f>
        <v>999999999</v>
      </c>
      <c r="J16" s="54">
        <f t="shared" si="1"/>
        <v>7</v>
      </c>
      <c r="K16" t="str">
        <f t="shared" si="0"/>
        <v>Sabit</v>
      </c>
    </row>
    <row r="17" spans="1:11" x14ac:dyDescent="0.3">
      <c r="A17" s="9" t="s">
        <v>6</v>
      </c>
      <c r="B17" s="47" t="s">
        <v>74</v>
      </c>
      <c r="C17" s="41" t="s">
        <v>606</v>
      </c>
      <c r="D17" s="41" t="s">
        <v>599</v>
      </c>
      <c r="E17" s="41"/>
      <c r="F17" s="41"/>
      <c r="G17" s="41"/>
      <c r="H17" s="10">
        <v>6.4</v>
      </c>
      <c r="I17" s="54">
        <f>VLOOKUP(A17,İstasyonlar!$A$2:$D$776,4,0)</f>
        <v>999999999</v>
      </c>
      <c r="J17" s="54">
        <f t="shared" si="1"/>
        <v>7</v>
      </c>
      <c r="K17" t="str">
        <f t="shared" si="0"/>
        <v>Sabit</v>
      </c>
    </row>
    <row r="18" spans="1:11" x14ac:dyDescent="0.3">
      <c r="A18" s="9" t="s">
        <v>6</v>
      </c>
      <c r="B18" s="47" t="s">
        <v>75</v>
      </c>
      <c r="C18" s="41" t="s">
        <v>606</v>
      </c>
      <c r="D18" s="41" t="s">
        <v>599</v>
      </c>
      <c r="E18" s="41"/>
      <c r="F18" s="41"/>
      <c r="G18" s="41"/>
      <c r="H18" s="10">
        <v>2.4</v>
      </c>
      <c r="I18" s="54">
        <f>VLOOKUP(A18,İstasyonlar!$A$2:$D$776,4,0)</f>
        <v>999999999</v>
      </c>
      <c r="J18" s="54">
        <f t="shared" si="1"/>
        <v>7</v>
      </c>
      <c r="K18" t="str">
        <f t="shared" si="0"/>
        <v>Sabit</v>
      </c>
    </row>
    <row r="19" spans="1:11" x14ac:dyDescent="0.3">
      <c r="A19" s="9" t="s">
        <v>6</v>
      </c>
      <c r="B19" s="47" t="s">
        <v>76</v>
      </c>
      <c r="C19" s="41" t="s">
        <v>606</v>
      </c>
      <c r="D19" s="41" t="s">
        <v>599</v>
      </c>
      <c r="E19" s="41"/>
      <c r="F19" s="41"/>
      <c r="G19" s="41"/>
      <c r="H19" s="10">
        <v>2.7</v>
      </c>
      <c r="I19" s="54">
        <f>VLOOKUP(A19,İstasyonlar!$A$2:$D$776,4,0)</f>
        <v>999999999</v>
      </c>
      <c r="J19" s="54">
        <f t="shared" si="1"/>
        <v>7</v>
      </c>
      <c r="K19" t="str">
        <f t="shared" si="0"/>
        <v>Sabit</v>
      </c>
    </row>
    <row r="20" spans="1:11" x14ac:dyDescent="0.3">
      <c r="A20" s="9" t="s">
        <v>7</v>
      </c>
      <c r="B20" s="47" t="s">
        <v>77</v>
      </c>
      <c r="C20" s="41" t="s">
        <v>607</v>
      </c>
      <c r="D20" s="41" t="s">
        <v>608</v>
      </c>
      <c r="E20" s="41"/>
      <c r="F20" s="41"/>
      <c r="G20" s="41" t="s">
        <v>596</v>
      </c>
      <c r="H20" s="10">
        <v>9.1999999999999993</v>
      </c>
      <c r="I20" s="54">
        <f>VLOOKUP(A20,İstasyonlar!$A$2:$D$776,4,0)</f>
        <v>999999999</v>
      </c>
      <c r="J20" s="54">
        <f t="shared" si="1"/>
        <v>8</v>
      </c>
      <c r="K20" t="str">
        <f t="shared" si="0"/>
        <v>Sabit</v>
      </c>
    </row>
    <row r="21" spans="1:11" x14ac:dyDescent="0.3">
      <c r="A21" s="9" t="s">
        <v>7</v>
      </c>
      <c r="B21" s="47" t="s">
        <v>78</v>
      </c>
      <c r="C21" s="41" t="s">
        <v>607</v>
      </c>
      <c r="D21" s="41" t="s">
        <v>608</v>
      </c>
      <c r="E21" s="41"/>
      <c r="F21" s="41"/>
      <c r="G21" s="41" t="s">
        <v>596</v>
      </c>
      <c r="H21" s="10">
        <v>9.1999999999999993</v>
      </c>
      <c r="I21" s="54">
        <f>VLOOKUP(A21,İstasyonlar!$A$2:$D$776,4,0)</f>
        <v>999999999</v>
      </c>
      <c r="J21" s="54">
        <f t="shared" si="1"/>
        <v>8</v>
      </c>
      <c r="K21" t="str">
        <f t="shared" si="0"/>
        <v>Sabit</v>
      </c>
    </row>
    <row r="22" spans="1:11" x14ac:dyDescent="0.3">
      <c r="A22" s="9" t="s">
        <v>291</v>
      </c>
      <c r="B22" s="47" t="s">
        <v>292</v>
      </c>
      <c r="C22" s="41" t="s">
        <v>608</v>
      </c>
      <c r="D22" s="41" t="s">
        <v>607</v>
      </c>
      <c r="E22" s="41" t="s">
        <v>606</v>
      </c>
      <c r="F22" s="41"/>
      <c r="G22" s="41"/>
      <c r="H22" s="10">
        <v>9.1999999999999993</v>
      </c>
      <c r="I22" s="54">
        <f>VLOOKUP(A22,İstasyonlar!$A$2:$D$776,4,0)</f>
        <v>999999999</v>
      </c>
      <c r="J22" s="54">
        <f t="shared" si="1"/>
        <v>9</v>
      </c>
      <c r="K22" t="str">
        <f t="shared" si="0"/>
        <v>Sabit</v>
      </c>
    </row>
    <row r="23" spans="1:11" x14ac:dyDescent="0.3">
      <c r="A23" s="9" t="s">
        <v>291</v>
      </c>
      <c r="B23" s="47" t="s">
        <v>293</v>
      </c>
      <c r="C23" s="41" t="s">
        <v>608</v>
      </c>
      <c r="D23" s="41" t="s">
        <v>607</v>
      </c>
      <c r="E23" s="41" t="s">
        <v>606</v>
      </c>
      <c r="F23" s="41"/>
      <c r="G23" s="41"/>
      <c r="H23" s="10">
        <v>9.1999999999999993</v>
      </c>
      <c r="I23" s="54">
        <f>VLOOKUP(A23,İstasyonlar!$A$2:$D$776,4,0)</f>
        <v>999999999</v>
      </c>
      <c r="J23" s="54">
        <f t="shared" si="1"/>
        <v>9</v>
      </c>
      <c r="K23" t="str">
        <f t="shared" si="0"/>
        <v>Sabit</v>
      </c>
    </row>
    <row r="24" spans="1:11" x14ac:dyDescent="0.3">
      <c r="A24" s="9" t="s">
        <v>8</v>
      </c>
      <c r="B24" s="47" t="s">
        <v>81</v>
      </c>
      <c r="C24" s="41" t="s">
        <v>609</v>
      </c>
      <c r="D24" s="41"/>
      <c r="E24" s="41"/>
      <c r="F24" s="41"/>
      <c r="G24" s="41"/>
      <c r="H24" s="10">
        <v>5.5</v>
      </c>
      <c r="I24" s="54">
        <f>VLOOKUP(A24,İstasyonlar!$A$2:$D$776,4,0)</f>
        <v>999999999</v>
      </c>
      <c r="J24" s="54">
        <f t="shared" si="1"/>
        <v>10</v>
      </c>
      <c r="K24" t="str">
        <f t="shared" si="0"/>
        <v>Sabit</v>
      </c>
    </row>
    <row r="25" spans="1:11" x14ac:dyDescent="0.3">
      <c r="A25" s="9" t="s">
        <v>8</v>
      </c>
      <c r="B25" s="47" t="s">
        <v>82</v>
      </c>
      <c r="C25" s="41" t="s">
        <v>609</v>
      </c>
      <c r="D25" s="41"/>
      <c r="E25" s="41"/>
      <c r="F25" s="41"/>
      <c r="G25" s="41"/>
      <c r="H25" s="10">
        <v>3.8</v>
      </c>
      <c r="I25" s="54">
        <f>VLOOKUP(A25,İstasyonlar!$A$2:$D$776,4,0)</f>
        <v>999999999</v>
      </c>
      <c r="J25" s="54">
        <f t="shared" si="1"/>
        <v>10</v>
      </c>
      <c r="K25" t="str">
        <f t="shared" si="0"/>
        <v>Sabit</v>
      </c>
    </row>
    <row r="26" spans="1:11" x14ac:dyDescent="0.3">
      <c r="A26" s="9" t="s">
        <v>8</v>
      </c>
      <c r="B26" s="47" t="s">
        <v>79</v>
      </c>
      <c r="C26" s="41" t="s">
        <v>609</v>
      </c>
      <c r="D26" s="41"/>
      <c r="E26" s="41"/>
      <c r="F26" s="41"/>
      <c r="G26" s="41"/>
      <c r="H26" s="10">
        <v>2.5</v>
      </c>
      <c r="I26" s="54">
        <f>VLOOKUP(A26,İstasyonlar!$A$2:$D$776,4,0)</f>
        <v>999999999</v>
      </c>
      <c r="J26" s="54">
        <f t="shared" si="1"/>
        <v>10</v>
      </c>
      <c r="K26" t="str">
        <f t="shared" si="0"/>
        <v>Sabit</v>
      </c>
    </row>
    <row r="27" spans="1:11" x14ac:dyDescent="0.3">
      <c r="A27" s="9" t="s">
        <v>8</v>
      </c>
      <c r="B27" s="47" t="s">
        <v>80</v>
      </c>
      <c r="C27" s="41" t="s">
        <v>609</v>
      </c>
      <c r="D27" s="41"/>
      <c r="E27" s="41"/>
      <c r="F27" s="41"/>
      <c r="G27" s="41"/>
      <c r="H27" s="10">
        <v>2.7</v>
      </c>
      <c r="I27" s="54">
        <f>VLOOKUP(A27,İstasyonlar!$A$2:$D$776,4,0)</f>
        <v>999999999</v>
      </c>
      <c r="J27" s="54">
        <f t="shared" si="1"/>
        <v>10</v>
      </c>
      <c r="K27" t="str">
        <f t="shared" si="0"/>
        <v>Sabit</v>
      </c>
    </row>
    <row r="28" spans="1:11" x14ac:dyDescent="0.3">
      <c r="A28" s="9" t="s">
        <v>9</v>
      </c>
      <c r="B28" s="47" t="s">
        <v>83</v>
      </c>
      <c r="C28" s="41" t="s">
        <v>610</v>
      </c>
      <c r="D28" s="41" t="s">
        <v>611</v>
      </c>
      <c r="E28" s="41"/>
      <c r="F28" s="41"/>
      <c r="G28" s="41"/>
      <c r="H28" s="10">
        <v>3.9</v>
      </c>
      <c r="I28" s="54">
        <f>VLOOKUP(A28,İstasyonlar!$A$2:$D$776,4,0)</f>
        <v>1000000</v>
      </c>
      <c r="J28" s="54">
        <f t="shared" si="1"/>
        <v>11</v>
      </c>
      <c r="K28" t="str">
        <f t="shared" si="0"/>
        <v/>
      </c>
    </row>
    <row r="29" spans="1:11" x14ac:dyDescent="0.3">
      <c r="A29" s="9" t="s">
        <v>9</v>
      </c>
      <c r="B29" s="47" t="s">
        <v>84</v>
      </c>
      <c r="C29" s="41" t="s">
        <v>610</v>
      </c>
      <c r="D29" s="41" t="s">
        <v>611</v>
      </c>
      <c r="E29" s="41"/>
      <c r="F29" s="41"/>
      <c r="G29" s="41"/>
      <c r="H29" s="10">
        <v>5.5</v>
      </c>
      <c r="I29" s="54">
        <f>VLOOKUP(A29,İstasyonlar!$A$2:$D$776,4,0)</f>
        <v>1000000</v>
      </c>
      <c r="J29" s="54">
        <f t="shared" si="1"/>
        <v>11</v>
      </c>
      <c r="K29" t="str">
        <f t="shared" si="0"/>
        <v/>
      </c>
    </row>
    <row r="30" spans="1:11" x14ac:dyDescent="0.3">
      <c r="A30" s="9" t="s">
        <v>9</v>
      </c>
      <c r="B30" s="47" t="s">
        <v>85</v>
      </c>
      <c r="C30" s="41" t="s">
        <v>610</v>
      </c>
      <c r="D30" s="41" t="s">
        <v>611</v>
      </c>
      <c r="E30" s="41"/>
      <c r="F30" s="41"/>
      <c r="G30" s="41"/>
      <c r="H30" s="10">
        <v>7.2</v>
      </c>
      <c r="I30" s="54">
        <f>VLOOKUP(A30,İstasyonlar!$A$2:$D$776,4,0)</f>
        <v>1000000</v>
      </c>
      <c r="J30" s="54">
        <f t="shared" si="1"/>
        <v>11</v>
      </c>
      <c r="K30" t="str">
        <f t="shared" si="0"/>
        <v/>
      </c>
    </row>
    <row r="31" spans="1:11" x14ac:dyDescent="0.3">
      <c r="A31" s="9" t="s">
        <v>13</v>
      </c>
      <c r="B31" s="47" t="s">
        <v>86</v>
      </c>
      <c r="C31" s="41" t="s">
        <v>612</v>
      </c>
      <c r="D31" s="41"/>
      <c r="E31" s="41"/>
      <c r="F31" s="41"/>
      <c r="G31" s="41"/>
      <c r="H31" s="10">
        <v>11.5</v>
      </c>
      <c r="I31" s="54">
        <f>VLOOKUP(A31,İstasyonlar!$A$2:$D$776,4,0)</f>
        <v>1000000</v>
      </c>
      <c r="J31" s="54">
        <f t="shared" si="1"/>
        <v>12</v>
      </c>
      <c r="K31" t="str">
        <f t="shared" si="0"/>
        <v/>
      </c>
    </row>
    <row r="32" spans="1:11" x14ac:dyDescent="0.3">
      <c r="A32" s="9" t="s">
        <v>14</v>
      </c>
      <c r="B32" s="47" t="s">
        <v>87</v>
      </c>
      <c r="C32" s="41" t="s">
        <v>613</v>
      </c>
      <c r="D32" s="41" t="s">
        <v>612</v>
      </c>
      <c r="E32" s="41"/>
      <c r="F32" s="41"/>
      <c r="G32" s="41"/>
      <c r="H32" s="10">
        <v>6.2</v>
      </c>
      <c r="I32" s="54">
        <f>VLOOKUP(A32,İstasyonlar!$A$2:$D$776,4,0)</f>
        <v>1000000</v>
      </c>
      <c r="J32" s="54">
        <f t="shared" si="1"/>
        <v>13</v>
      </c>
      <c r="K32" t="str">
        <f t="shared" si="0"/>
        <v/>
      </c>
    </row>
    <row r="33" spans="1:11" x14ac:dyDescent="0.3">
      <c r="A33" s="9" t="s">
        <v>14</v>
      </c>
      <c r="B33" s="47" t="s">
        <v>88</v>
      </c>
      <c r="C33" s="41" t="s">
        <v>613</v>
      </c>
      <c r="D33" s="41" t="s">
        <v>612</v>
      </c>
      <c r="E33" s="41"/>
      <c r="F33" s="41"/>
      <c r="G33" s="41"/>
      <c r="H33" s="10">
        <v>3.1</v>
      </c>
      <c r="I33" s="54">
        <f>VLOOKUP(A33,İstasyonlar!$A$2:$D$776,4,0)</f>
        <v>1000000</v>
      </c>
      <c r="J33" s="54">
        <f t="shared" si="1"/>
        <v>13</v>
      </c>
      <c r="K33" t="str">
        <f t="shared" si="0"/>
        <v/>
      </c>
    </row>
    <row r="34" spans="1:11" x14ac:dyDescent="0.3">
      <c r="A34" s="9" t="s">
        <v>12</v>
      </c>
      <c r="B34" s="47" t="s">
        <v>89</v>
      </c>
      <c r="C34" s="41" t="s">
        <v>614</v>
      </c>
      <c r="D34" s="41"/>
      <c r="E34" s="41"/>
      <c r="F34" s="41"/>
      <c r="G34" s="41"/>
      <c r="H34" s="10">
        <v>3.2</v>
      </c>
      <c r="I34" s="54">
        <f>VLOOKUP(A34,İstasyonlar!$A$2:$D$776,4,0)</f>
        <v>999999999</v>
      </c>
      <c r="J34" s="54">
        <f t="shared" si="1"/>
        <v>14</v>
      </c>
      <c r="K34" t="str">
        <f t="shared" si="0"/>
        <v>Sabit</v>
      </c>
    </row>
    <row r="35" spans="1:11" x14ac:dyDescent="0.3">
      <c r="A35" s="9" t="s">
        <v>12</v>
      </c>
      <c r="B35" s="47" t="s">
        <v>90</v>
      </c>
      <c r="C35" s="41" t="s">
        <v>614</v>
      </c>
      <c r="D35" s="41"/>
      <c r="E35" s="41"/>
      <c r="F35" s="41"/>
      <c r="G35" s="41"/>
      <c r="H35" s="10">
        <v>5.5</v>
      </c>
      <c r="I35" s="54">
        <f>VLOOKUP(A35,İstasyonlar!$A$2:$D$776,4,0)</f>
        <v>999999999</v>
      </c>
      <c r="J35" s="54">
        <f t="shared" si="1"/>
        <v>14</v>
      </c>
      <c r="K35" t="str">
        <f t="shared" si="0"/>
        <v>Sabit</v>
      </c>
    </row>
    <row r="36" spans="1:11" x14ac:dyDescent="0.3">
      <c r="A36" s="9" t="s">
        <v>12</v>
      </c>
      <c r="B36" s="47" t="s">
        <v>91</v>
      </c>
      <c r="C36" s="41" t="s">
        <v>614</v>
      </c>
      <c r="D36" s="41"/>
      <c r="E36" s="41"/>
      <c r="F36" s="41"/>
      <c r="G36" s="41"/>
      <c r="H36" s="10">
        <v>5</v>
      </c>
      <c r="I36" s="54">
        <f>VLOOKUP(A36,İstasyonlar!$A$2:$D$776,4,0)</f>
        <v>999999999</v>
      </c>
      <c r="J36" s="54">
        <f t="shared" si="1"/>
        <v>14</v>
      </c>
      <c r="K36" t="str">
        <f t="shared" si="0"/>
        <v>Sabit</v>
      </c>
    </row>
    <row r="37" spans="1:11" x14ac:dyDescent="0.3">
      <c r="A37" s="9" t="s">
        <v>11</v>
      </c>
      <c r="B37" s="47" t="s">
        <v>92</v>
      </c>
      <c r="C37" s="41" t="s">
        <v>615</v>
      </c>
      <c r="D37" s="41"/>
      <c r="E37" s="41"/>
      <c r="F37" s="41"/>
      <c r="G37" s="41"/>
      <c r="H37" s="10">
        <v>6</v>
      </c>
      <c r="I37" s="54">
        <f>VLOOKUP(A37,İstasyonlar!$A$2:$D$776,4,0)</f>
        <v>999999999</v>
      </c>
      <c r="J37" s="54">
        <f t="shared" si="1"/>
        <v>15</v>
      </c>
      <c r="K37" t="str">
        <f t="shared" si="0"/>
        <v>Sabit</v>
      </c>
    </row>
    <row r="38" spans="1:11" x14ac:dyDescent="0.3">
      <c r="A38" s="9" t="s">
        <v>11</v>
      </c>
      <c r="B38" s="47" t="s">
        <v>93</v>
      </c>
      <c r="C38" s="41" t="s">
        <v>615</v>
      </c>
      <c r="D38" s="41"/>
      <c r="E38" s="41"/>
      <c r="F38" s="41"/>
      <c r="G38" s="41"/>
      <c r="H38" s="10">
        <v>3.1</v>
      </c>
      <c r="I38" s="54">
        <f>VLOOKUP(A38,İstasyonlar!$A$2:$D$776,4,0)</f>
        <v>999999999</v>
      </c>
      <c r="J38" s="54">
        <f t="shared" si="1"/>
        <v>15</v>
      </c>
      <c r="K38" t="str">
        <f t="shared" si="0"/>
        <v>Sabit</v>
      </c>
    </row>
    <row r="39" spans="1:11" x14ac:dyDescent="0.3">
      <c r="A39" s="9" t="s">
        <v>10</v>
      </c>
      <c r="B39" s="47" t="s">
        <v>98</v>
      </c>
      <c r="C39" s="41" t="s">
        <v>616</v>
      </c>
      <c r="D39" s="41" t="s">
        <v>604</v>
      </c>
      <c r="E39" s="41"/>
      <c r="F39" s="41"/>
      <c r="G39" s="41"/>
      <c r="H39" s="10">
        <v>15.8</v>
      </c>
      <c r="I39" s="54">
        <f>VLOOKUP(A39,İstasyonlar!$A$2:$D$776,4,0)</f>
        <v>999999999</v>
      </c>
      <c r="J39" s="54">
        <f t="shared" si="1"/>
        <v>16</v>
      </c>
      <c r="K39" t="str">
        <f t="shared" si="0"/>
        <v>Sabit</v>
      </c>
    </row>
    <row r="40" spans="1:11" x14ac:dyDescent="0.3">
      <c r="A40" s="9" t="s">
        <v>15</v>
      </c>
      <c r="B40" s="47" t="s">
        <v>99</v>
      </c>
      <c r="C40" s="41" t="s">
        <v>617</v>
      </c>
      <c r="D40" s="41" t="s">
        <v>618</v>
      </c>
      <c r="E40" s="41" t="s">
        <v>619</v>
      </c>
      <c r="F40" s="41"/>
      <c r="G40" s="41"/>
      <c r="H40" s="10">
        <v>2.1</v>
      </c>
      <c r="I40" s="54">
        <f>VLOOKUP(A40,İstasyonlar!$A$2:$D$776,4,0)</f>
        <v>999999999</v>
      </c>
      <c r="J40" s="54">
        <f t="shared" si="1"/>
        <v>17</v>
      </c>
      <c r="K40" t="str">
        <f t="shared" si="0"/>
        <v>Sabit</v>
      </c>
    </row>
    <row r="41" spans="1:11" x14ac:dyDescent="0.3">
      <c r="A41" s="9" t="s">
        <v>15</v>
      </c>
      <c r="B41" s="47" t="s">
        <v>100</v>
      </c>
      <c r="C41" s="41" t="s">
        <v>617</v>
      </c>
      <c r="D41" s="41" t="s">
        <v>618</v>
      </c>
      <c r="E41" s="41" t="s">
        <v>619</v>
      </c>
      <c r="F41" s="41"/>
      <c r="G41" s="41"/>
      <c r="H41" s="10">
        <v>1.8</v>
      </c>
      <c r="I41" s="54">
        <f>VLOOKUP(A41,İstasyonlar!$A$2:$D$776,4,0)</f>
        <v>999999999</v>
      </c>
      <c r="J41" s="54">
        <f t="shared" si="1"/>
        <v>17</v>
      </c>
      <c r="K41" t="str">
        <f t="shared" si="0"/>
        <v>Sabit</v>
      </c>
    </row>
    <row r="42" spans="1:11" x14ac:dyDescent="0.3">
      <c r="A42" s="9" t="s">
        <v>15</v>
      </c>
      <c r="B42" s="47" t="s">
        <v>101</v>
      </c>
      <c r="C42" s="41" t="s">
        <v>617</v>
      </c>
      <c r="D42" s="41" t="s">
        <v>618</v>
      </c>
      <c r="E42" s="41" t="s">
        <v>619</v>
      </c>
      <c r="F42" s="41"/>
      <c r="G42" s="41"/>
      <c r="H42" s="10">
        <v>3.2</v>
      </c>
      <c r="I42" s="54">
        <f>VLOOKUP(A42,İstasyonlar!$A$2:$D$776,4,0)</f>
        <v>999999999</v>
      </c>
      <c r="J42" s="54">
        <f t="shared" si="1"/>
        <v>17</v>
      </c>
      <c r="K42" t="str">
        <f t="shared" si="0"/>
        <v>Sabit</v>
      </c>
    </row>
    <row r="43" spans="1:11" x14ac:dyDescent="0.3">
      <c r="A43" s="9" t="s">
        <v>16</v>
      </c>
      <c r="B43" s="47" t="s">
        <v>102</v>
      </c>
      <c r="C43" s="41" t="s">
        <v>619</v>
      </c>
      <c r="D43" s="41"/>
      <c r="E43" s="41"/>
      <c r="F43" s="41" t="s">
        <v>617</v>
      </c>
      <c r="G43" s="41"/>
      <c r="H43" s="10">
        <v>3.2</v>
      </c>
      <c r="I43" s="54">
        <f>VLOOKUP(A43,İstasyonlar!$A$2:$D$776,4,0)</f>
        <v>1000000</v>
      </c>
      <c r="J43" s="54">
        <f t="shared" si="1"/>
        <v>18</v>
      </c>
      <c r="K43" t="str">
        <f t="shared" si="0"/>
        <v/>
      </c>
    </row>
    <row r="44" spans="1:11" x14ac:dyDescent="0.3">
      <c r="A44" s="9" t="s">
        <v>16</v>
      </c>
      <c r="B44" s="47" t="s">
        <v>103</v>
      </c>
      <c r="C44" s="41" t="s">
        <v>619</v>
      </c>
      <c r="D44" s="41"/>
      <c r="E44" s="41"/>
      <c r="F44" s="41" t="s">
        <v>617</v>
      </c>
      <c r="G44" s="41"/>
      <c r="H44" s="10">
        <v>3.2</v>
      </c>
      <c r="I44" s="54">
        <f>VLOOKUP(A44,İstasyonlar!$A$2:$D$776,4,0)</f>
        <v>1000000</v>
      </c>
      <c r="J44" s="54">
        <f t="shared" si="1"/>
        <v>18</v>
      </c>
      <c r="K44" t="str">
        <f t="shared" si="0"/>
        <v/>
      </c>
    </row>
    <row r="45" spans="1:11" x14ac:dyDescent="0.3">
      <c r="A45" s="9" t="s">
        <v>16</v>
      </c>
      <c r="B45" s="47" t="s">
        <v>104</v>
      </c>
      <c r="C45" s="41" t="s">
        <v>619</v>
      </c>
      <c r="D45" s="41"/>
      <c r="E45" s="41"/>
      <c r="F45" s="41" t="s">
        <v>617</v>
      </c>
      <c r="G45" s="41"/>
      <c r="H45" s="10">
        <v>4.5</v>
      </c>
      <c r="I45" s="54">
        <f>VLOOKUP(A45,İstasyonlar!$A$2:$D$776,4,0)</f>
        <v>1000000</v>
      </c>
      <c r="J45" s="54">
        <f t="shared" si="1"/>
        <v>18</v>
      </c>
      <c r="K45" t="str">
        <f t="shared" si="0"/>
        <v/>
      </c>
    </row>
    <row r="46" spans="1:11" x14ac:dyDescent="0.3">
      <c r="A46" s="9" t="s">
        <v>16</v>
      </c>
      <c r="B46" s="47" t="s">
        <v>105</v>
      </c>
      <c r="C46" s="41" t="s">
        <v>619</v>
      </c>
      <c r="D46" s="41"/>
      <c r="E46" s="41"/>
      <c r="F46" s="41" t="s">
        <v>617</v>
      </c>
      <c r="G46" s="41"/>
      <c r="H46" s="10">
        <v>6.8</v>
      </c>
      <c r="I46" s="54">
        <f>VLOOKUP(A46,İstasyonlar!$A$2:$D$776,4,0)</f>
        <v>1000000</v>
      </c>
      <c r="J46" s="54">
        <f t="shared" si="1"/>
        <v>18</v>
      </c>
      <c r="K46" t="str">
        <f t="shared" si="0"/>
        <v/>
      </c>
    </row>
    <row r="47" spans="1:11" x14ac:dyDescent="0.3">
      <c r="A47" s="9" t="s">
        <v>17</v>
      </c>
      <c r="B47" s="47" t="s">
        <v>108</v>
      </c>
      <c r="C47" s="41" t="s">
        <v>618</v>
      </c>
      <c r="D47" s="41" t="s">
        <v>619</v>
      </c>
      <c r="E47" s="41" t="s">
        <v>620</v>
      </c>
      <c r="F47" s="41"/>
      <c r="G47" s="41"/>
      <c r="H47" s="10">
        <v>3.1</v>
      </c>
      <c r="I47" s="54">
        <f>VLOOKUP(A47,İstasyonlar!$A$2:$D$776,4,0)</f>
        <v>1000000</v>
      </c>
      <c r="J47" s="54">
        <f t="shared" si="1"/>
        <v>19</v>
      </c>
      <c r="K47" t="str">
        <f t="shared" si="0"/>
        <v/>
      </c>
    </row>
    <row r="48" spans="1:11" x14ac:dyDescent="0.3">
      <c r="A48" s="9" t="s">
        <v>17</v>
      </c>
      <c r="B48" s="47" t="s">
        <v>109</v>
      </c>
      <c r="C48" s="41" t="s">
        <v>618</v>
      </c>
      <c r="D48" s="41" t="s">
        <v>619</v>
      </c>
      <c r="E48" s="41" t="s">
        <v>620</v>
      </c>
      <c r="F48" s="41"/>
      <c r="G48" s="41"/>
      <c r="H48" s="10">
        <v>2.5</v>
      </c>
      <c r="I48" s="54">
        <f>VLOOKUP(A48,İstasyonlar!$A$2:$D$776,4,0)</f>
        <v>1000000</v>
      </c>
      <c r="J48" s="54">
        <f t="shared" si="1"/>
        <v>19</v>
      </c>
      <c r="K48" t="str">
        <f t="shared" si="0"/>
        <v/>
      </c>
    </row>
    <row r="49" spans="1:11" x14ac:dyDescent="0.3">
      <c r="A49" s="9" t="s">
        <v>17</v>
      </c>
      <c r="B49" s="47" t="s">
        <v>110</v>
      </c>
      <c r="C49" s="41" t="s">
        <v>618</v>
      </c>
      <c r="D49" s="41" t="s">
        <v>619</v>
      </c>
      <c r="E49" s="41" t="s">
        <v>620</v>
      </c>
      <c r="F49" s="41"/>
      <c r="G49" s="41"/>
      <c r="H49" s="10">
        <v>3.1</v>
      </c>
      <c r="I49" s="54">
        <f>VLOOKUP(A49,İstasyonlar!$A$2:$D$776,4,0)</f>
        <v>1000000</v>
      </c>
      <c r="J49" s="54">
        <f t="shared" si="1"/>
        <v>19</v>
      </c>
      <c r="K49" t="str">
        <f t="shared" si="0"/>
        <v/>
      </c>
    </row>
    <row r="50" spans="1:11" x14ac:dyDescent="0.3">
      <c r="A50" s="9" t="s">
        <v>17</v>
      </c>
      <c r="B50" s="47" t="s">
        <v>111</v>
      </c>
      <c r="C50" s="41" t="s">
        <v>618</v>
      </c>
      <c r="D50" s="41" t="s">
        <v>619</v>
      </c>
      <c r="E50" s="41" t="s">
        <v>620</v>
      </c>
      <c r="F50" s="41"/>
      <c r="G50" s="41"/>
      <c r="H50" s="10">
        <v>5.5</v>
      </c>
      <c r="I50" s="54">
        <f>VLOOKUP(A50,İstasyonlar!$A$2:$D$776,4,0)</f>
        <v>1000000</v>
      </c>
      <c r="J50" s="54">
        <f t="shared" si="1"/>
        <v>19</v>
      </c>
      <c r="K50" t="str">
        <f t="shared" si="0"/>
        <v/>
      </c>
    </row>
    <row r="51" spans="1:11" x14ac:dyDescent="0.3">
      <c r="A51" s="9" t="s">
        <v>20</v>
      </c>
      <c r="B51" s="47" t="s">
        <v>112</v>
      </c>
      <c r="C51" s="41" t="s">
        <v>621</v>
      </c>
      <c r="D51" s="41"/>
      <c r="E51" s="41"/>
      <c r="F51" s="41"/>
      <c r="G51" s="41"/>
      <c r="H51" s="10">
        <v>4.5</v>
      </c>
      <c r="I51" s="54">
        <f>VLOOKUP(A51,İstasyonlar!$A$2:$D$776,4,0)</f>
        <v>1000000</v>
      </c>
      <c r="J51" s="54">
        <f t="shared" si="1"/>
        <v>20</v>
      </c>
      <c r="K51" t="str">
        <f t="shared" si="0"/>
        <v/>
      </c>
    </row>
    <row r="52" spans="1:11" x14ac:dyDescent="0.3">
      <c r="A52" s="9" t="s">
        <v>20</v>
      </c>
      <c r="B52" s="47" t="s">
        <v>113</v>
      </c>
      <c r="C52" s="41" t="s">
        <v>621</v>
      </c>
      <c r="D52" s="41"/>
      <c r="E52" s="41"/>
      <c r="F52" s="41"/>
      <c r="G52" s="41"/>
      <c r="H52" s="10">
        <v>3.8</v>
      </c>
      <c r="I52" s="54">
        <f>VLOOKUP(A52,İstasyonlar!$A$2:$D$776,4,0)</f>
        <v>1000000</v>
      </c>
      <c r="J52" s="54">
        <f t="shared" si="1"/>
        <v>20</v>
      </c>
      <c r="K52" t="str">
        <f t="shared" si="0"/>
        <v/>
      </c>
    </row>
    <row r="53" spans="1:11" x14ac:dyDescent="0.3">
      <c r="A53" s="9" t="s">
        <v>20</v>
      </c>
      <c r="B53" s="47" t="s">
        <v>114</v>
      </c>
      <c r="C53" s="41" t="s">
        <v>621</v>
      </c>
      <c r="D53" s="41"/>
      <c r="E53" s="41"/>
      <c r="F53" s="41"/>
      <c r="G53" s="41"/>
      <c r="H53" s="10">
        <v>3.6</v>
      </c>
      <c r="I53" s="54">
        <f>VLOOKUP(A53,İstasyonlar!$A$2:$D$776,4,0)</f>
        <v>1000000</v>
      </c>
      <c r="J53" s="54">
        <f t="shared" si="1"/>
        <v>20</v>
      </c>
      <c r="K53" t="str">
        <f t="shared" si="0"/>
        <v/>
      </c>
    </row>
    <row r="54" spans="1:11" x14ac:dyDescent="0.3">
      <c r="A54" s="9" t="s">
        <v>20</v>
      </c>
      <c r="B54" s="47" t="s">
        <v>115</v>
      </c>
      <c r="C54" s="41" t="s">
        <v>621</v>
      </c>
      <c r="D54" s="41"/>
      <c r="E54" s="41"/>
      <c r="F54" s="41"/>
      <c r="G54" s="41"/>
      <c r="H54" s="10">
        <v>3.4</v>
      </c>
      <c r="I54" s="54">
        <f>VLOOKUP(A54,İstasyonlar!$A$2:$D$776,4,0)</f>
        <v>1000000</v>
      </c>
      <c r="J54" s="54">
        <f t="shared" si="1"/>
        <v>20</v>
      </c>
      <c r="K54" t="str">
        <f t="shared" si="0"/>
        <v/>
      </c>
    </row>
    <row r="55" spans="1:11" x14ac:dyDescent="0.3">
      <c r="A55" s="9" t="s">
        <v>20</v>
      </c>
      <c r="B55" s="47" t="s">
        <v>116</v>
      </c>
      <c r="C55" s="41" t="s">
        <v>621</v>
      </c>
      <c r="D55" s="41"/>
      <c r="E55" s="41"/>
      <c r="F55" s="41"/>
      <c r="G55" s="41"/>
      <c r="H55" s="10">
        <v>3.8</v>
      </c>
      <c r="I55" s="54">
        <f>VLOOKUP(A55,İstasyonlar!$A$2:$D$776,4,0)</f>
        <v>1000000</v>
      </c>
      <c r="J55" s="54">
        <f t="shared" si="1"/>
        <v>20</v>
      </c>
      <c r="K55" t="str">
        <f t="shared" si="0"/>
        <v/>
      </c>
    </row>
    <row r="56" spans="1:11" x14ac:dyDescent="0.3">
      <c r="A56" s="9" t="s">
        <v>20</v>
      </c>
      <c r="B56" s="47" t="s">
        <v>117</v>
      </c>
      <c r="C56" s="41" t="s">
        <v>621</v>
      </c>
      <c r="D56" s="41"/>
      <c r="E56" s="41"/>
      <c r="F56" s="41"/>
      <c r="G56" s="41"/>
      <c r="H56" s="10">
        <v>3.1</v>
      </c>
      <c r="I56" s="54">
        <f>VLOOKUP(A56,İstasyonlar!$A$2:$D$776,4,0)</f>
        <v>1000000</v>
      </c>
      <c r="J56" s="54">
        <f t="shared" si="1"/>
        <v>20</v>
      </c>
      <c r="K56" t="str">
        <f t="shared" si="0"/>
        <v/>
      </c>
    </row>
    <row r="57" spans="1:11" x14ac:dyDescent="0.3">
      <c r="A57" s="9" t="s">
        <v>21</v>
      </c>
      <c r="B57" s="47" t="s">
        <v>118</v>
      </c>
      <c r="C57" s="41" t="s">
        <v>602</v>
      </c>
      <c r="D57" s="41" t="s">
        <v>601</v>
      </c>
      <c r="E57" s="41"/>
      <c r="F57" s="41"/>
      <c r="G57" s="41"/>
      <c r="H57" s="10">
        <v>12.2</v>
      </c>
      <c r="I57" s="54">
        <f>VLOOKUP(A57,İstasyonlar!$A$2:$D$776,4,0)</f>
        <v>1000000</v>
      </c>
      <c r="J57" s="54">
        <f t="shared" si="1"/>
        <v>21</v>
      </c>
      <c r="K57" t="str">
        <f t="shared" si="0"/>
        <v/>
      </c>
    </row>
    <row r="58" spans="1:11" x14ac:dyDescent="0.3">
      <c r="A58" s="9" t="s">
        <v>22</v>
      </c>
      <c r="B58" s="47" t="s">
        <v>121</v>
      </c>
      <c r="C58" s="41" t="s">
        <v>603</v>
      </c>
      <c r="D58" s="41" t="s">
        <v>622</v>
      </c>
      <c r="E58" s="41"/>
      <c r="F58" s="41"/>
      <c r="G58" s="41"/>
      <c r="H58" s="10">
        <v>4.4000000000000004</v>
      </c>
      <c r="I58" s="54">
        <f>VLOOKUP(A58,İstasyonlar!$A$2:$D$776,4,0)</f>
        <v>999999999</v>
      </c>
      <c r="J58" s="54">
        <f t="shared" si="1"/>
        <v>22</v>
      </c>
      <c r="K58" t="str">
        <f t="shared" si="0"/>
        <v>Sabit</v>
      </c>
    </row>
    <row r="59" spans="1:11" x14ac:dyDescent="0.3">
      <c r="A59" s="9" t="s">
        <v>22</v>
      </c>
      <c r="B59" s="47" t="s">
        <v>122</v>
      </c>
      <c r="C59" s="41" t="s">
        <v>603</v>
      </c>
      <c r="D59" s="41" t="s">
        <v>622</v>
      </c>
      <c r="E59" s="41"/>
      <c r="F59" s="41"/>
      <c r="G59" s="41"/>
      <c r="H59" s="10">
        <v>3.5</v>
      </c>
      <c r="I59" s="54">
        <f>VLOOKUP(A59,İstasyonlar!$A$2:$D$776,4,0)</f>
        <v>999999999</v>
      </c>
      <c r="J59" s="54">
        <f t="shared" si="1"/>
        <v>22</v>
      </c>
      <c r="K59" t="str">
        <f t="shared" si="0"/>
        <v>Sabit</v>
      </c>
    </row>
    <row r="60" spans="1:11" x14ac:dyDescent="0.3">
      <c r="A60" s="9" t="s">
        <v>22</v>
      </c>
      <c r="B60" s="47" t="s">
        <v>123</v>
      </c>
      <c r="C60" s="41" t="s">
        <v>603</v>
      </c>
      <c r="D60" s="41" t="s">
        <v>622</v>
      </c>
      <c r="E60" s="41"/>
      <c r="F60" s="41"/>
      <c r="G60" s="41"/>
      <c r="H60" s="10">
        <v>3.6</v>
      </c>
      <c r="I60" s="54">
        <f>VLOOKUP(A60,İstasyonlar!$A$2:$D$776,4,0)</f>
        <v>999999999</v>
      </c>
      <c r="J60" s="54">
        <f t="shared" si="1"/>
        <v>22</v>
      </c>
      <c r="K60" t="str">
        <f t="shared" si="0"/>
        <v>Sabit</v>
      </c>
    </row>
    <row r="61" spans="1:11" x14ac:dyDescent="0.3">
      <c r="A61" s="9" t="s">
        <v>23</v>
      </c>
      <c r="B61" s="47" t="s">
        <v>129</v>
      </c>
      <c r="C61" s="41" t="s">
        <v>622</v>
      </c>
      <c r="D61" s="41" t="s">
        <v>623</v>
      </c>
      <c r="E61" s="41" t="s">
        <v>624</v>
      </c>
      <c r="F61" s="41"/>
      <c r="G61" s="41"/>
      <c r="H61" s="10">
        <v>4.5</v>
      </c>
      <c r="I61" s="54">
        <f>VLOOKUP(A61,İstasyonlar!$A$2:$D$776,4,0)</f>
        <v>999999999</v>
      </c>
      <c r="J61" s="54">
        <f t="shared" si="1"/>
        <v>23</v>
      </c>
      <c r="K61" t="str">
        <f t="shared" si="0"/>
        <v>Sabit</v>
      </c>
    </row>
    <row r="62" spans="1:11" x14ac:dyDescent="0.3">
      <c r="A62" s="9" t="s">
        <v>23</v>
      </c>
      <c r="B62" s="47" t="s">
        <v>125</v>
      </c>
      <c r="C62" s="41" t="s">
        <v>622</v>
      </c>
      <c r="D62" s="41" t="s">
        <v>623</v>
      </c>
      <c r="E62" s="41" t="s">
        <v>624</v>
      </c>
      <c r="F62" s="41"/>
      <c r="G62" s="41"/>
      <c r="H62" s="10">
        <v>5.8</v>
      </c>
      <c r="I62" s="54">
        <f>VLOOKUP(A62,İstasyonlar!$A$2:$D$776,4,0)</f>
        <v>999999999</v>
      </c>
      <c r="J62" s="54">
        <f t="shared" si="1"/>
        <v>23</v>
      </c>
      <c r="K62" t="str">
        <f t="shared" si="0"/>
        <v>Sabit</v>
      </c>
    </row>
    <row r="63" spans="1:11" x14ac:dyDescent="0.3">
      <c r="A63" s="9" t="s">
        <v>23</v>
      </c>
      <c r="B63" s="47" t="s">
        <v>126</v>
      </c>
      <c r="C63" s="41" t="s">
        <v>622</v>
      </c>
      <c r="D63" s="41" t="s">
        <v>623</v>
      </c>
      <c r="E63" s="41" t="s">
        <v>624</v>
      </c>
      <c r="F63" s="41"/>
      <c r="G63" s="41"/>
      <c r="H63" s="10">
        <v>3.6</v>
      </c>
      <c r="I63" s="54">
        <f>VLOOKUP(A63,İstasyonlar!$A$2:$D$776,4,0)</f>
        <v>999999999</v>
      </c>
      <c r="J63" s="54">
        <f t="shared" si="1"/>
        <v>23</v>
      </c>
      <c r="K63" t="str">
        <f t="shared" si="0"/>
        <v>Sabit</v>
      </c>
    </row>
    <row r="64" spans="1:11" x14ac:dyDescent="0.3">
      <c r="A64" s="9" t="s">
        <v>23</v>
      </c>
      <c r="B64" s="47" t="s">
        <v>127</v>
      </c>
      <c r="C64" s="41" t="s">
        <v>622</v>
      </c>
      <c r="D64" s="41" t="s">
        <v>623</v>
      </c>
      <c r="E64" s="41" t="s">
        <v>624</v>
      </c>
      <c r="F64" s="41"/>
      <c r="G64" s="41"/>
      <c r="H64" s="10">
        <v>3.6</v>
      </c>
      <c r="I64" s="54">
        <f>VLOOKUP(A64,İstasyonlar!$A$2:$D$776,4,0)</f>
        <v>999999999</v>
      </c>
      <c r="J64" s="54">
        <f t="shared" si="1"/>
        <v>23</v>
      </c>
      <c r="K64" t="str">
        <f t="shared" si="0"/>
        <v>Sabit</v>
      </c>
    </row>
    <row r="65" spans="1:11" x14ac:dyDescent="0.3">
      <c r="A65" s="9" t="s">
        <v>23</v>
      </c>
      <c r="B65" s="47" t="s">
        <v>128</v>
      </c>
      <c r="C65" s="41" t="s">
        <v>622</v>
      </c>
      <c r="D65" s="41" t="s">
        <v>623</v>
      </c>
      <c r="E65" s="41" t="s">
        <v>624</v>
      </c>
      <c r="F65" s="41"/>
      <c r="G65" s="41"/>
      <c r="H65" s="10">
        <v>3.6</v>
      </c>
      <c r="I65" s="54">
        <f>VLOOKUP(A65,İstasyonlar!$A$2:$D$776,4,0)</f>
        <v>999999999</v>
      </c>
      <c r="J65" s="54">
        <f t="shared" si="1"/>
        <v>23</v>
      </c>
      <c r="K65" t="str">
        <f t="shared" si="0"/>
        <v>Sabit</v>
      </c>
    </row>
    <row r="66" spans="1:11" x14ac:dyDescent="0.3">
      <c r="A66" s="9" t="s">
        <v>18</v>
      </c>
      <c r="B66" s="47" t="s">
        <v>131</v>
      </c>
      <c r="C66" s="41" t="s">
        <v>620</v>
      </c>
      <c r="D66" s="41" t="s">
        <v>617</v>
      </c>
      <c r="E66" s="41"/>
      <c r="F66" s="41"/>
      <c r="G66" s="41"/>
      <c r="H66" s="10">
        <v>3.5</v>
      </c>
      <c r="I66" s="54">
        <f>VLOOKUP(A66,İstasyonlar!$A$2:$D$776,4,0)</f>
        <v>1000000</v>
      </c>
      <c r="J66" s="54">
        <f t="shared" si="1"/>
        <v>24</v>
      </c>
      <c r="K66" t="str">
        <f t="shared" ref="K66:K129" si="2">IF(I66=1000000,"","Sabit")</f>
        <v/>
      </c>
    </row>
    <row r="67" spans="1:11" x14ac:dyDescent="0.3">
      <c r="A67" s="9" t="s">
        <v>18</v>
      </c>
      <c r="B67" s="47" t="s">
        <v>132</v>
      </c>
      <c r="C67" s="41" t="s">
        <v>620</v>
      </c>
      <c r="D67" s="41" t="s">
        <v>617</v>
      </c>
      <c r="E67" s="41"/>
      <c r="F67" s="41"/>
      <c r="G67" s="41"/>
      <c r="H67" s="10">
        <v>4.5</v>
      </c>
      <c r="I67" s="54">
        <f>VLOOKUP(A67,İstasyonlar!$A$2:$D$776,4,0)</f>
        <v>1000000</v>
      </c>
      <c r="J67" s="54">
        <f t="shared" ref="J67:J130" si="3">IF(A67=A66, J66, J66+1)</f>
        <v>24</v>
      </c>
      <c r="K67" t="str">
        <f t="shared" si="2"/>
        <v/>
      </c>
    </row>
    <row r="68" spans="1:11" x14ac:dyDescent="0.3">
      <c r="A68" s="9" t="s">
        <v>18</v>
      </c>
      <c r="B68" s="47" t="s">
        <v>133</v>
      </c>
      <c r="C68" s="41" t="s">
        <v>620</v>
      </c>
      <c r="D68" s="41" t="s">
        <v>617</v>
      </c>
      <c r="E68" s="41"/>
      <c r="F68" s="41"/>
      <c r="G68" s="41"/>
      <c r="H68" s="10">
        <v>4.2</v>
      </c>
      <c r="I68" s="54">
        <f>VLOOKUP(A68,İstasyonlar!$A$2:$D$776,4,0)</f>
        <v>1000000</v>
      </c>
      <c r="J68" s="54">
        <f t="shared" si="3"/>
        <v>24</v>
      </c>
      <c r="K68" t="str">
        <f t="shared" si="2"/>
        <v/>
      </c>
    </row>
    <row r="69" spans="1:11" x14ac:dyDescent="0.3">
      <c r="A69" s="9" t="s">
        <v>18</v>
      </c>
      <c r="B69" s="47" t="s">
        <v>134</v>
      </c>
      <c r="C69" s="41" t="s">
        <v>620</v>
      </c>
      <c r="D69" s="41" t="s">
        <v>617</v>
      </c>
      <c r="E69" s="41"/>
      <c r="F69" s="41"/>
      <c r="G69" s="41"/>
      <c r="H69" s="10">
        <v>2.8</v>
      </c>
      <c r="I69" s="54">
        <f>VLOOKUP(A69,İstasyonlar!$A$2:$D$776,4,0)</f>
        <v>1000000</v>
      </c>
      <c r="J69" s="54">
        <f t="shared" si="3"/>
        <v>24</v>
      </c>
      <c r="K69" t="str">
        <f t="shared" si="2"/>
        <v/>
      </c>
    </row>
    <row r="70" spans="1:11" x14ac:dyDescent="0.3">
      <c r="A70" s="9" t="s">
        <v>19</v>
      </c>
      <c r="B70" s="47" t="s">
        <v>135</v>
      </c>
      <c r="C70" s="41" t="s">
        <v>625</v>
      </c>
      <c r="D70" s="41" t="s">
        <v>620</v>
      </c>
      <c r="E70" s="41" t="s">
        <v>617</v>
      </c>
      <c r="F70" s="41"/>
      <c r="G70" s="41"/>
      <c r="H70" s="10">
        <v>3.5</v>
      </c>
      <c r="I70" s="54">
        <f>VLOOKUP(A70,İstasyonlar!$A$2:$D$776,4,0)</f>
        <v>1000000</v>
      </c>
      <c r="J70" s="54">
        <f t="shared" si="3"/>
        <v>25</v>
      </c>
      <c r="K70" t="str">
        <f t="shared" si="2"/>
        <v/>
      </c>
    </row>
    <row r="71" spans="1:11" x14ac:dyDescent="0.3">
      <c r="A71" s="9" t="s">
        <v>19</v>
      </c>
      <c r="B71" s="47" t="s">
        <v>136</v>
      </c>
      <c r="C71" s="41" t="s">
        <v>625</v>
      </c>
      <c r="D71" s="41" t="s">
        <v>620</v>
      </c>
      <c r="E71" s="41" t="s">
        <v>617</v>
      </c>
      <c r="F71" s="41"/>
      <c r="G71" s="41"/>
      <c r="H71" s="10">
        <v>3.8</v>
      </c>
      <c r="I71" s="54">
        <f>VLOOKUP(A71,İstasyonlar!$A$2:$D$776,4,0)</f>
        <v>1000000</v>
      </c>
      <c r="J71" s="54">
        <f t="shared" si="3"/>
        <v>25</v>
      </c>
      <c r="K71" t="str">
        <f t="shared" si="2"/>
        <v/>
      </c>
    </row>
    <row r="72" spans="1:11" x14ac:dyDescent="0.3">
      <c r="A72" s="9" t="s">
        <v>19</v>
      </c>
      <c r="B72" s="47" t="s">
        <v>137</v>
      </c>
      <c r="C72" s="41" t="s">
        <v>625</v>
      </c>
      <c r="D72" s="41" t="s">
        <v>620</v>
      </c>
      <c r="E72" s="41" t="s">
        <v>617</v>
      </c>
      <c r="F72" s="41"/>
      <c r="G72" s="41"/>
      <c r="H72" s="10">
        <v>4.8</v>
      </c>
      <c r="I72" s="54">
        <f>VLOOKUP(A72,İstasyonlar!$A$2:$D$776,4,0)</f>
        <v>1000000</v>
      </c>
      <c r="J72" s="54">
        <f t="shared" si="3"/>
        <v>25</v>
      </c>
      <c r="K72" t="str">
        <f t="shared" si="2"/>
        <v/>
      </c>
    </row>
    <row r="73" spans="1:11" x14ac:dyDescent="0.3">
      <c r="A73" s="9" t="s">
        <v>24</v>
      </c>
      <c r="B73" s="47" t="s">
        <v>138</v>
      </c>
      <c r="C73" s="41" t="s">
        <v>624</v>
      </c>
      <c r="D73" s="41"/>
      <c r="E73" s="41"/>
      <c r="F73" s="41"/>
      <c r="G73" s="41"/>
      <c r="H73" s="10">
        <v>3.1</v>
      </c>
      <c r="I73" s="54">
        <f>VLOOKUP(A73,İstasyonlar!$A$2:$D$776,4,0)</f>
        <v>1000000</v>
      </c>
      <c r="J73" s="54">
        <f t="shared" si="3"/>
        <v>26</v>
      </c>
      <c r="K73" t="str">
        <f t="shared" si="2"/>
        <v/>
      </c>
    </row>
    <row r="74" spans="1:11" x14ac:dyDescent="0.3">
      <c r="A74" s="9" t="s">
        <v>24</v>
      </c>
      <c r="B74" s="47" t="s">
        <v>139</v>
      </c>
      <c r="C74" s="41" t="s">
        <v>624</v>
      </c>
      <c r="D74" s="41"/>
      <c r="E74" s="41"/>
      <c r="F74" s="41"/>
      <c r="G74" s="41"/>
      <c r="H74" s="10">
        <v>3.5</v>
      </c>
      <c r="I74" s="54">
        <f>VLOOKUP(A74,İstasyonlar!$A$2:$D$776,4,0)</f>
        <v>1000000</v>
      </c>
      <c r="J74" s="54">
        <f t="shared" si="3"/>
        <v>26</v>
      </c>
      <c r="K74" t="str">
        <f t="shared" si="2"/>
        <v/>
      </c>
    </row>
    <row r="75" spans="1:11" x14ac:dyDescent="0.3">
      <c r="A75" s="9" t="s">
        <v>24</v>
      </c>
      <c r="B75" s="47" t="s">
        <v>140</v>
      </c>
      <c r="C75" s="41" t="s">
        <v>624</v>
      </c>
      <c r="D75" s="41"/>
      <c r="E75" s="41"/>
      <c r="F75" s="41"/>
      <c r="G75" s="41"/>
      <c r="H75" s="10">
        <v>3.1</v>
      </c>
      <c r="I75" s="54">
        <f>VLOOKUP(A75,İstasyonlar!$A$2:$D$776,4,0)</f>
        <v>1000000</v>
      </c>
      <c r="J75" s="54">
        <f t="shared" si="3"/>
        <v>26</v>
      </c>
      <c r="K75" t="str">
        <f t="shared" si="2"/>
        <v/>
      </c>
    </row>
    <row r="76" spans="1:11" x14ac:dyDescent="0.3">
      <c r="A76" s="9" t="s">
        <v>24</v>
      </c>
      <c r="B76" s="47" t="s">
        <v>141</v>
      </c>
      <c r="C76" s="41" t="s">
        <v>624</v>
      </c>
      <c r="D76" s="41"/>
      <c r="E76" s="41"/>
      <c r="F76" s="41"/>
      <c r="G76" s="41"/>
      <c r="H76" s="10">
        <v>4.5</v>
      </c>
      <c r="I76" s="54">
        <f>VLOOKUP(A76,İstasyonlar!$A$2:$D$776,4,0)</f>
        <v>1000000</v>
      </c>
      <c r="J76" s="54">
        <f t="shared" si="3"/>
        <v>26</v>
      </c>
      <c r="K76" t="str">
        <f t="shared" si="2"/>
        <v/>
      </c>
    </row>
    <row r="77" spans="1:11" x14ac:dyDescent="0.3">
      <c r="A77" s="9" t="s">
        <v>25</v>
      </c>
      <c r="B77" s="47" t="s">
        <v>142</v>
      </c>
      <c r="C77" s="41" t="s">
        <v>626</v>
      </c>
      <c r="D77" s="41"/>
      <c r="E77" s="41"/>
      <c r="F77" s="41"/>
      <c r="G77" s="41"/>
      <c r="H77" s="10">
        <v>6.2</v>
      </c>
      <c r="I77" s="54">
        <f>VLOOKUP(A77,İstasyonlar!$A$2:$D$776,4,0)</f>
        <v>1000000</v>
      </c>
      <c r="J77" s="54">
        <f t="shared" si="3"/>
        <v>27</v>
      </c>
      <c r="K77" t="str">
        <f t="shared" si="2"/>
        <v/>
      </c>
    </row>
    <row r="78" spans="1:11" x14ac:dyDescent="0.3">
      <c r="A78" s="9" t="s">
        <v>25</v>
      </c>
      <c r="B78" s="47" t="s">
        <v>143</v>
      </c>
      <c r="C78" s="41" t="s">
        <v>626</v>
      </c>
      <c r="D78" s="41"/>
      <c r="E78" s="41"/>
      <c r="F78" s="41"/>
      <c r="G78" s="41"/>
      <c r="H78" s="10">
        <v>4.5</v>
      </c>
      <c r="I78" s="54">
        <f>VLOOKUP(A78,İstasyonlar!$A$2:$D$776,4,0)</f>
        <v>1000000</v>
      </c>
      <c r="J78" s="54">
        <f t="shared" si="3"/>
        <v>27</v>
      </c>
      <c r="K78" t="str">
        <f t="shared" si="2"/>
        <v/>
      </c>
    </row>
    <row r="79" spans="1:11" x14ac:dyDescent="0.3">
      <c r="A79" s="9" t="s">
        <v>25</v>
      </c>
      <c r="B79" s="47" t="s">
        <v>144</v>
      </c>
      <c r="C79" s="41" t="s">
        <v>626</v>
      </c>
      <c r="D79" s="41"/>
      <c r="E79" s="41"/>
      <c r="F79" s="41"/>
      <c r="G79" s="41"/>
      <c r="H79" s="10">
        <v>2.5</v>
      </c>
      <c r="I79" s="54">
        <f>VLOOKUP(A79,İstasyonlar!$A$2:$D$776,4,0)</f>
        <v>1000000</v>
      </c>
      <c r="J79" s="54">
        <f t="shared" si="3"/>
        <v>27</v>
      </c>
      <c r="K79" t="str">
        <f t="shared" si="2"/>
        <v/>
      </c>
    </row>
    <row r="80" spans="1:11" x14ac:dyDescent="0.3">
      <c r="A80" s="9" t="s">
        <v>26</v>
      </c>
      <c r="B80" s="47" t="s">
        <v>146</v>
      </c>
      <c r="C80" s="41" t="s">
        <v>627</v>
      </c>
      <c r="D80" s="41" t="s">
        <v>628</v>
      </c>
      <c r="E80" s="41" t="s">
        <v>626</v>
      </c>
      <c r="F80" s="41"/>
      <c r="G80" s="41"/>
      <c r="H80" s="10">
        <v>1</v>
      </c>
      <c r="I80" s="54">
        <f>VLOOKUP(A80,İstasyonlar!$A$2:$D$776,4,0)</f>
        <v>1000000</v>
      </c>
      <c r="J80" s="54">
        <f t="shared" si="3"/>
        <v>28</v>
      </c>
      <c r="K80" t="str">
        <f t="shared" si="2"/>
        <v/>
      </c>
    </row>
    <row r="81" spans="1:11" x14ac:dyDescent="0.3">
      <c r="A81" s="9" t="s">
        <v>26</v>
      </c>
      <c r="B81" s="47" t="s">
        <v>147</v>
      </c>
      <c r="C81" s="41" t="s">
        <v>627</v>
      </c>
      <c r="D81" s="41" t="s">
        <v>628</v>
      </c>
      <c r="E81" s="41" t="s">
        <v>626</v>
      </c>
      <c r="F81" s="41"/>
      <c r="G81" s="41"/>
      <c r="H81" s="10">
        <v>2.4</v>
      </c>
      <c r="I81" s="54">
        <f>VLOOKUP(A81,İstasyonlar!$A$2:$D$776,4,0)</f>
        <v>1000000</v>
      </c>
      <c r="J81" s="54">
        <f t="shared" si="3"/>
        <v>28</v>
      </c>
      <c r="K81" t="str">
        <f t="shared" si="2"/>
        <v/>
      </c>
    </row>
    <row r="82" spans="1:11" x14ac:dyDescent="0.3">
      <c r="A82" s="9" t="s">
        <v>26</v>
      </c>
      <c r="B82" s="47" t="s">
        <v>148</v>
      </c>
      <c r="C82" s="41" t="s">
        <v>627</v>
      </c>
      <c r="D82" s="41" t="s">
        <v>628</v>
      </c>
      <c r="E82" s="41" t="s">
        <v>626</v>
      </c>
      <c r="F82" s="41"/>
      <c r="G82" s="41"/>
      <c r="H82" s="10">
        <v>4.0999999999999996</v>
      </c>
      <c r="I82" s="54">
        <f>VLOOKUP(A82,İstasyonlar!$A$2:$D$776,4,0)</f>
        <v>1000000</v>
      </c>
      <c r="J82" s="54">
        <f t="shared" si="3"/>
        <v>28</v>
      </c>
      <c r="K82" t="str">
        <f t="shared" si="2"/>
        <v/>
      </c>
    </row>
    <row r="83" spans="1:11" x14ac:dyDescent="0.3">
      <c r="A83" s="9" t="s">
        <v>26</v>
      </c>
      <c r="B83" s="47" t="s">
        <v>149</v>
      </c>
      <c r="C83" s="41" t="s">
        <v>627</v>
      </c>
      <c r="D83" s="41" t="s">
        <v>628</v>
      </c>
      <c r="E83" s="41" t="s">
        <v>626</v>
      </c>
      <c r="F83" s="41"/>
      <c r="G83" s="41"/>
      <c r="H83" s="10">
        <v>3.8</v>
      </c>
      <c r="I83" s="54">
        <f>VLOOKUP(A83,İstasyonlar!$A$2:$D$776,4,0)</f>
        <v>1000000</v>
      </c>
      <c r="J83" s="54">
        <f t="shared" si="3"/>
        <v>28</v>
      </c>
      <c r="K83" t="str">
        <f t="shared" si="2"/>
        <v/>
      </c>
    </row>
    <row r="84" spans="1:11" x14ac:dyDescent="0.3">
      <c r="A84" s="9" t="s">
        <v>27</v>
      </c>
      <c r="B84" s="47" t="s">
        <v>150</v>
      </c>
      <c r="C84" s="41" t="s">
        <v>628</v>
      </c>
      <c r="D84" s="41" t="s">
        <v>627</v>
      </c>
      <c r="E84" s="41" t="s">
        <v>623</v>
      </c>
      <c r="F84" s="41" t="s">
        <v>626</v>
      </c>
      <c r="G84" s="41"/>
      <c r="H84" s="10">
        <v>12.5</v>
      </c>
      <c r="I84" s="54">
        <f>VLOOKUP(A84,İstasyonlar!$A$2:$D$776,4,0)</f>
        <v>1000000</v>
      </c>
      <c r="J84" s="54">
        <f t="shared" si="3"/>
        <v>29</v>
      </c>
      <c r="K84" t="str">
        <f t="shared" si="2"/>
        <v/>
      </c>
    </row>
    <row r="85" spans="1:11" x14ac:dyDescent="0.3">
      <c r="A85" s="9" t="s">
        <v>27</v>
      </c>
      <c r="B85" s="47" t="s">
        <v>151</v>
      </c>
      <c r="C85" s="41" t="s">
        <v>628</v>
      </c>
      <c r="D85" s="41" t="s">
        <v>627</v>
      </c>
      <c r="E85" s="41" t="s">
        <v>623</v>
      </c>
      <c r="F85" s="41" t="s">
        <v>626</v>
      </c>
      <c r="G85" s="41"/>
      <c r="H85" s="10">
        <v>6.1</v>
      </c>
      <c r="I85" s="54">
        <f>VLOOKUP(A85,İstasyonlar!$A$2:$D$776,4,0)</f>
        <v>1000000</v>
      </c>
      <c r="J85" s="54">
        <f t="shared" si="3"/>
        <v>29</v>
      </c>
      <c r="K85" t="str">
        <f t="shared" si="2"/>
        <v/>
      </c>
    </row>
    <row r="86" spans="1:11" x14ac:dyDescent="0.3">
      <c r="A86" s="9" t="s">
        <v>28</v>
      </c>
      <c r="B86" s="47" t="s">
        <v>152</v>
      </c>
      <c r="C86" s="41" t="s">
        <v>630</v>
      </c>
      <c r="D86" s="41"/>
      <c r="E86" s="41"/>
      <c r="F86" s="41"/>
      <c r="G86" s="41"/>
      <c r="H86" s="10">
        <v>4.5</v>
      </c>
      <c r="I86" s="54">
        <f>VLOOKUP(A86,İstasyonlar!$A$2:$D$776,4,0)</f>
        <v>1000000</v>
      </c>
      <c r="J86" s="54">
        <f t="shared" si="3"/>
        <v>30</v>
      </c>
      <c r="K86" t="str">
        <f t="shared" si="2"/>
        <v/>
      </c>
    </row>
    <row r="87" spans="1:11" x14ac:dyDescent="0.3">
      <c r="A87" s="9" t="s">
        <v>28</v>
      </c>
      <c r="B87" s="47" t="s">
        <v>153</v>
      </c>
      <c r="C87" s="41" t="s">
        <v>630</v>
      </c>
      <c r="D87" s="41"/>
      <c r="E87" s="41"/>
      <c r="F87" s="41"/>
      <c r="G87" s="41"/>
      <c r="H87" s="10">
        <v>3.5</v>
      </c>
      <c r="I87" s="54">
        <f>VLOOKUP(A87,İstasyonlar!$A$2:$D$776,4,0)</f>
        <v>1000000</v>
      </c>
      <c r="J87" s="54">
        <f t="shared" si="3"/>
        <v>30</v>
      </c>
      <c r="K87" t="str">
        <f t="shared" si="2"/>
        <v/>
      </c>
    </row>
    <row r="88" spans="1:11" x14ac:dyDescent="0.3">
      <c r="A88" s="9" t="s">
        <v>28</v>
      </c>
      <c r="B88" s="47" t="s">
        <v>154</v>
      </c>
      <c r="C88" s="41" t="s">
        <v>630</v>
      </c>
      <c r="D88" s="41"/>
      <c r="E88" s="41"/>
      <c r="F88" s="41"/>
      <c r="G88" s="41"/>
      <c r="H88" s="10">
        <v>3.1</v>
      </c>
      <c r="I88" s="54">
        <f>VLOOKUP(A88,İstasyonlar!$A$2:$D$776,4,0)</f>
        <v>1000000</v>
      </c>
      <c r="J88" s="54">
        <f t="shared" si="3"/>
        <v>30</v>
      </c>
      <c r="K88" t="str">
        <f t="shared" si="2"/>
        <v/>
      </c>
    </row>
    <row r="89" spans="1:11" x14ac:dyDescent="0.3">
      <c r="A89" s="9" t="s">
        <v>28</v>
      </c>
      <c r="B89" s="47" t="s">
        <v>155</v>
      </c>
      <c r="C89" s="41" t="s">
        <v>630</v>
      </c>
      <c r="D89" s="41"/>
      <c r="E89" s="41"/>
      <c r="F89" s="41"/>
      <c r="G89" s="41"/>
      <c r="H89" s="10">
        <v>3.1</v>
      </c>
      <c r="I89" s="54">
        <f>VLOOKUP(A89,İstasyonlar!$A$2:$D$776,4,0)</f>
        <v>1000000</v>
      </c>
      <c r="J89" s="54">
        <f t="shared" si="3"/>
        <v>30</v>
      </c>
      <c r="K89" t="str">
        <f t="shared" si="2"/>
        <v/>
      </c>
    </row>
    <row r="90" spans="1:11" x14ac:dyDescent="0.3">
      <c r="A90" s="9" t="s">
        <v>29</v>
      </c>
      <c r="B90" s="47" t="s">
        <v>156</v>
      </c>
      <c r="C90" s="41" t="s">
        <v>623</v>
      </c>
      <c r="D90" s="41" t="s">
        <v>626</v>
      </c>
      <c r="E90" s="41"/>
      <c r="F90" s="41"/>
      <c r="G90" s="41"/>
      <c r="H90" s="10">
        <v>9.1999999999999993</v>
      </c>
      <c r="I90" s="54">
        <f>VLOOKUP(A90,İstasyonlar!$A$2:$D$776,4,0)</f>
        <v>1000000</v>
      </c>
      <c r="J90" s="54">
        <f t="shared" si="3"/>
        <v>31</v>
      </c>
      <c r="K90" t="str">
        <f t="shared" si="2"/>
        <v/>
      </c>
    </row>
    <row r="91" spans="1:11" x14ac:dyDescent="0.3">
      <c r="A91" s="9" t="s">
        <v>29</v>
      </c>
      <c r="B91" s="47" t="s">
        <v>157</v>
      </c>
      <c r="C91" s="41" t="s">
        <v>623</v>
      </c>
      <c r="D91" s="41" t="s">
        <v>626</v>
      </c>
      <c r="E91" s="41"/>
      <c r="F91" s="41"/>
      <c r="G91" s="41"/>
      <c r="H91" s="10">
        <v>0.6</v>
      </c>
      <c r="I91" s="54">
        <f>VLOOKUP(A91,İstasyonlar!$A$2:$D$776,4,0)</f>
        <v>1000000</v>
      </c>
      <c r="J91" s="54">
        <f t="shared" si="3"/>
        <v>31</v>
      </c>
      <c r="K91" t="str">
        <f t="shared" si="2"/>
        <v/>
      </c>
    </row>
    <row r="92" spans="1:11" x14ac:dyDescent="0.3">
      <c r="A92" s="9" t="s">
        <v>29</v>
      </c>
      <c r="B92" s="47" t="s">
        <v>158</v>
      </c>
      <c r="C92" s="41" t="s">
        <v>623</v>
      </c>
      <c r="D92" s="41" t="s">
        <v>626</v>
      </c>
      <c r="E92" s="41"/>
      <c r="F92" s="41"/>
      <c r="G92" s="41"/>
      <c r="H92" s="10">
        <v>2.8</v>
      </c>
      <c r="I92" s="54">
        <f>VLOOKUP(A92,İstasyonlar!$A$2:$D$776,4,0)</f>
        <v>1000000</v>
      </c>
      <c r="J92" s="54">
        <f t="shared" si="3"/>
        <v>31</v>
      </c>
      <c r="K92" t="str">
        <f t="shared" si="2"/>
        <v/>
      </c>
    </row>
    <row r="93" spans="1:11" x14ac:dyDescent="0.3">
      <c r="A93" s="9" t="s">
        <v>57</v>
      </c>
      <c r="B93" s="47" t="s">
        <v>159</v>
      </c>
      <c r="C93" s="41" t="s">
        <v>631</v>
      </c>
      <c r="D93" s="41"/>
      <c r="E93" s="41"/>
      <c r="F93" s="41"/>
      <c r="G93" s="41"/>
      <c r="H93" s="10">
        <v>5.5</v>
      </c>
      <c r="I93" s="54">
        <f>VLOOKUP(A93,İstasyonlar!$A$2:$D$776,4,0)</f>
        <v>1000000</v>
      </c>
      <c r="J93" s="54">
        <f t="shared" si="3"/>
        <v>32</v>
      </c>
      <c r="K93" t="str">
        <f t="shared" si="2"/>
        <v/>
      </c>
    </row>
    <row r="94" spans="1:11" x14ac:dyDescent="0.3">
      <c r="A94" s="9" t="s">
        <v>57</v>
      </c>
      <c r="B94" s="47" t="s">
        <v>160</v>
      </c>
      <c r="C94" s="41" t="s">
        <v>631</v>
      </c>
      <c r="D94" s="41"/>
      <c r="E94" s="41"/>
      <c r="F94" s="41"/>
      <c r="G94" s="41"/>
      <c r="H94" s="10">
        <v>3.1</v>
      </c>
      <c r="I94" s="54">
        <f>VLOOKUP(A94,İstasyonlar!$A$2:$D$776,4,0)</f>
        <v>1000000</v>
      </c>
      <c r="J94" s="54">
        <f t="shared" si="3"/>
        <v>32</v>
      </c>
      <c r="K94" t="str">
        <f t="shared" si="2"/>
        <v/>
      </c>
    </row>
    <row r="95" spans="1:11" x14ac:dyDescent="0.3">
      <c r="A95" s="9" t="s">
        <v>57</v>
      </c>
      <c r="B95" s="47" t="s">
        <v>161</v>
      </c>
      <c r="C95" s="41" t="s">
        <v>631</v>
      </c>
      <c r="D95" s="41"/>
      <c r="E95" s="41"/>
      <c r="F95" s="41"/>
      <c r="G95" s="41"/>
      <c r="H95" s="10">
        <v>3.1</v>
      </c>
      <c r="I95" s="54">
        <f>VLOOKUP(A95,İstasyonlar!$A$2:$D$776,4,0)</f>
        <v>1000000</v>
      </c>
      <c r="J95" s="54">
        <f t="shared" si="3"/>
        <v>32</v>
      </c>
      <c r="K95" t="str">
        <f t="shared" si="2"/>
        <v/>
      </c>
    </row>
    <row r="96" spans="1:11" x14ac:dyDescent="0.3">
      <c r="A96" s="9" t="s">
        <v>57</v>
      </c>
      <c r="B96" s="47" t="s">
        <v>162</v>
      </c>
      <c r="C96" s="41" t="s">
        <v>631</v>
      </c>
      <c r="D96" s="41"/>
      <c r="E96" s="41"/>
      <c r="F96" s="41"/>
      <c r="G96" s="41"/>
      <c r="H96" s="10">
        <v>2.5</v>
      </c>
      <c r="I96" s="54">
        <f>VLOOKUP(A96,İstasyonlar!$A$2:$D$776,4,0)</f>
        <v>1000000</v>
      </c>
      <c r="J96" s="54">
        <f t="shared" si="3"/>
        <v>32</v>
      </c>
      <c r="K96" t="str">
        <f t="shared" si="2"/>
        <v/>
      </c>
    </row>
    <row r="97" spans="1:11" x14ac:dyDescent="0.3">
      <c r="A97" s="9" t="s">
        <v>32</v>
      </c>
      <c r="B97" s="47" t="s">
        <v>163</v>
      </c>
      <c r="C97" s="41" t="s">
        <v>632</v>
      </c>
      <c r="D97" s="41" t="s">
        <v>631</v>
      </c>
      <c r="E97" s="41"/>
      <c r="F97" s="41"/>
      <c r="G97" s="41"/>
      <c r="H97" s="10">
        <v>0.5</v>
      </c>
      <c r="I97" s="54">
        <f>VLOOKUP(A97,İstasyonlar!$A$2:$D$776,4,0)</f>
        <v>1000000</v>
      </c>
      <c r="J97" s="54">
        <f t="shared" si="3"/>
        <v>33</v>
      </c>
      <c r="K97" t="str">
        <f t="shared" si="2"/>
        <v/>
      </c>
    </row>
    <row r="98" spans="1:11" x14ac:dyDescent="0.3">
      <c r="A98" s="9" t="s">
        <v>32</v>
      </c>
      <c r="B98" s="47" t="s">
        <v>164</v>
      </c>
      <c r="C98" s="41" t="s">
        <v>632</v>
      </c>
      <c r="D98" s="41" t="s">
        <v>631</v>
      </c>
      <c r="E98" s="41"/>
      <c r="F98" s="41"/>
      <c r="G98" s="41"/>
      <c r="H98" s="10">
        <v>5.8</v>
      </c>
      <c r="I98" s="54">
        <f>VLOOKUP(A98,İstasyonlar!$A$2:$D$776,4,0)</f>
        <v>1000000</v>
      </c>
      <c r="J98" s="54">
        <f t="shared" si="3"/>
        <v>33</v>
      </c>
      <c r="K98" t="str">
        <f t="shared" si="2"/>
        <v/>
      </c>
    </row>
    <row r="99" spans="1:11" x14ac:dyDescent="0.3">
      <c r="A99" s="9" t="s">
        <v>32</v>
      </c>
      <c r="B99" s="47" t="s">
        <v>165</v>
      </c>
      <c r="C99" s="41" t="s">
        <v>632</v>
      </c>
      <c r="D99" s="41" t="s">
        <v>631</v>
      </c>
      <c r="E99" s="41"/>
      <c r="F99" s="41"/>
      <c r="G99" s="41"/>
      <c r="H99" s="10">
        <v>5.0999999999999996</v>
      </c>
      <c r="I99" s="54">
        <f>VLOOKUP(A99,İstasyonlar!$A$2:$D$776,4,0)</f>
        <v>1000000</v>
      </c>
      <c r="J99" s="54">
        <f t="shared" si="3"/>
        <v>33</v>
      </c>
      <c r="K99" t="str">
        <f t="shared" si="2"/>
        <v/>
      </c>
    </row>
    <row r="100" spans="1:11" x14ac:dyDescent="0.3">
      <c r="A100" s="9" t="s">
        <v>32</v>
      </c>
      <c r="B100" s="47" t="s">
        <v>166</v>
      </c>
      <c r="C100" s="41" t="s">
        <v>632</v>
      </c>
      <c r="D100" s="41" t="s">
        <v>631</v>
      </c>
      <c r="E100" s="41"/>
      <c r="F100" s="41"/>
      <c r="G100" s="41"/>
      <c r="H100" s="10">
        <v>6.8</v>
      </c>
      <c r="I100" s="54">
        <f>VLOOKUP(A100,İstasyonlar!$A$2:$D$776,4,0)</f>
        <v>1000000</v>
      </c>
      <c r="J100" s="54">
        <f t="shared" si="3"/>
        <v>33</v>
      </c>
      <c r="K100" t="str">
        <f t="shared" si="2"/>
        <v/>
      </c>
    </row>
    <row r="101" spans="1:11" x14ac:dyDescent="0.3">
      <c r="A101" s="9" t="s">
        <v>32</v>
      </c>
      <c r="B101" s="47" t="s">
        <v>167</v>
      </c>
      <c r="C101" s="41" t="s">
        <v>632</v>
      </c>
      <c r="D101" s="41" t="s">
        <v>631</v>
      </c>
      <c r="E101" s="41"/>
      <c r="F101" s="41"/>
      <c r="G101" s="41"/>
      <c r="H101" s="10">
        <v>0.5</v>
      </c>
      <c r="I101" s="54">
        <f>VLOOKUP(A101,İstasyonlar!$A$2:$D$776,4,0)</f>
        <v>1000000</v>
      </c>
      <c r="J101" s="54">
        <f t="shared" si="3"/>
        <v>33</v>
      </c>
      <c r="K101" t="str">
        <f t="shared" si="2"/>
        <v/>
      </c>
    </row>
    <row r="102" spans="1:11" x14ac:dyDescent="0.3">
      <c r="A102" s="9" t="s">
        <v>33</v>
      </c>
      <c r="B102" s="47" t="s">
        <v>168</v>
      </c>
      <c r="C102" s="41" t="s">
        <v>635</v>
      </c>
      <c r="D102" s="41"/>
      <c r="E102" s="41"/>
      <c r="F102" s="41"/>
      <c r="G102" s="41"/>
      <c r="H102" s="10">
        <v>3.1</v>
      </c>
      <c r="I102" s="54">
        <f>VLOOKUP(A102,İstasyonlar!$A$2:$D$776,4,0)</f>
        <v>1000000</v>
      </c>
      <c r="J102" s="54">
        <f t="shared" si="3"/>
        <v>34</v>
      </c>
      <c r="K102" t="str">
        <f t="shared" si="2"/>
        <v/>
      </c>
    </row>
    <row r="103" spans="1:11" x14ac:dyDescent="0.3">
      <c r="A103" s="9" t="s">
        <v>33</v>
      </c>
      <c r="B103" s="47" t="s">
        <v>169</v>
      </c>
      <c r="C103" s="41" t="s">
        <v>635</v>
      </c>
      <c r="D103" s="41"/>
      <c r="E103" s="41"/>
      <c r="F103" s="41"/>
      <c r="G103" s="41"/>
      <c r="H103" s="10">
        <v>4.9000000000000004</v>
      </c>
      <c r="I103" s="54">
        <f>VLOOKUP(A103,İstasyonlar!$A$2:$D$776,4,0)</f>
        <v>1000000</v>
      </c>
      <c r="J103" s="54">
        <f t="shared" si="3"/>
        <v>34</v>
      </c>
      <c r="K103" t="str">
        <f t="shared" si="2"/>
        <v/>
      </c>
    </row>
    <row r="104" spans="1:11" x14ac:dyDescent="0.3">
      <c r="A104" s="9" t="s">
        <v>33</v>
      </c>
      <c r="B104" s="47" t="s">
        <v>170</v>
      </c>
      <c r="C104" s="41" t="s">
        <v>635</v>
      </c>
      <c r="D104" s="41"/>
      <c r="E104" s="41"/>
      <c r="F104" s="41"/>
      <c r="G104" s="41"/>
      <c r="H104" s="10">
        <v>6.5</v>
      </c>
      <c r="I104" s="54">
        <f>VLOOKUP(A104,İstasyonlar!$A$2:$D$776,4,0)</f>
        <v>1000000</v>
      </c>
      <c r="J104" s="54">
        <f t="shared" si="3"/>
        <v>34</v>
      </c>
      <c r="K104" t="str">
        <f t="shared" si="2"/>
        <v/>
      </c>
    </row>
    <row r="105" spans="1:11" x14ac:dyDescent="0.3">
      <c r="A105" s="9" t="s">
        <v>34</v>
      </c>
      <c r="B105" s="47" t="s">
        <v>171</v>
      </c>
      <c r="C105" s="41" t="s">
        <v>637</v>
      </c>
      <c r="D105" s="41" t="s">
        <v>632</v>
      </c>
      <c r="E105" s="41"/>
      <c r="F105" s="41"/>
      <c r="G105" s="41"/>
      <c r="H105" s="10">
        <v>0.5</v>
      </c>
      <c r="I105" s="54">
        <f>VLOOKUP(A105,İstasyonlar!$A$2:$D$776,4,0)</f>
        <v>1000000</v>
      </c>
      <c r="J105" s="54">
        <f t="shared" si="3"/>
        <v>35</v>
      </c>
      <c r="K105" t="str">
        <f t="shared" si="2"/>
        <v/>
      </c>
    </row>
    <row r="106" spans="1:11" x14ac:dyDescent="0.3">
      <c r="A106" s="9" t="s">
        <v>34</v>
      </c>
      <c r="B106" s="47" t="s">
        <v>172</v>
      </c>
      <c r="C106" s="41" t="s">
        <v>637</v>
      </c>
      <c r="D106" s="41" t="s">
        <v>632</v>
      </c>
      <c r="E106" s="41"/>
      <c r="F106" s="41"/>
      <c r="G106" s="41"/>
      <c r="H106" s="10">
        <v>6.9</v>
      </c>
      <c r="I106" s="54">
        <f>VLOOKUP(A106,İstasyonlar!$A$2:$D$776,4,0)</f>
        <v>1000000</v>
      </c>
      <c r="J106" s="54">
        <f t="shared" si="3"/>
        <v>35</v>
      </c>
      <c r="K106" t="str">
        <f t="shared" si="2"/>
        <v/>
      </c>
    </row>
    <row r="107" spans="1:11" x14ac:dyDescent="0.3">
      <c r="A107" s="9" t="s">
        <v>34</v>
      </c>
      <c r="B107" s="47" t="s">
        <v>173</v>
      </c>
      <c r="C107" s="41" t="s">
        <v>637</v>
      </c>
      <c r="D107" s="41" t="s">
        <v>632</v>
      </c>
      <c r="E107" s="41"/>
      <c r="F107" s="41"/>
      <c r="G107" s="41"/>
      <c r="H107" s="10">
        <v>5.4</v>
      </c>
      <c r="I107" s="54">
        <f>VLOOKUP(A107,İstasyonlar!$A$2:$D$776,4,0)</f>
        <v>1000000</v>
      </c>
      <c r="J107" s="54">
        <f t="shared" si="3"/>
        <v>35</v>
      </c>
      <c r="K107" t="str">
        <f t="shared" si="2"/>
        <v/>
      </c>
    </row>
    <row r="108" spans="1:11" x14ac:dyDescent="0.3">
      <c r="A108" s="9" t="s">
        <v>34</v>
      </c>
      <c r="B108" s="47" t="s">
        <v>174</v>
      </c>
      <c r="C108" s="41" t="s">
        <v>637</v>
      </c>
      <c r="D108" s="41" t="s">
        <v>632</v>
      </c>
      <c r="E108" s="41"/>
      <c r="F108" s="41"/>
      <c r="G108" s="41"/>
      <c r="H108" s="10">
        <v>6.1</v>
      </c>
      <c r="I108" s="54">
        <f>VLOOKUP(A108,İstasyonlar!$A$2:$D$776,4,0)</f>
        <v>1000000</v>
      </c>
      <c r="J108" s="54">
        <f t="shared" si="3"/>
        <v>35</v>
      </c>
      <c r="K108" t="str">
        <f t="shared" si="2"/>
        <v/>
      </c>
    </row>
    <row r="109" spans="1:11" x14ac:dyDescent="0.3">
      <c r="A109" s="9" t="s">
        <v>34</v>
      </c>
      <c r="B109" s="47" t="s">
        <v>175</v>
      </c>
      <c r="C109" s="41" t="s">
        <v>637</v>
      </c>
      <c r="D109" s="41" t="s">
        <v>632</v>
      </c>
      <c r="E109" s="41"/>
      <c r="F109" s="41"/>
      <c r="G109" s="41"/>
      <c r="H109" s="10">
        <v>0.5</v>
      </c>
      <c r="I109" s="54">
        <f>VLOOKUP(A109,İstasyonlar!$A$2:$D$776,4,0)</f>
        <v>1000000</v>
      </c>
      <c r="J109" s="54">
        <f t="shared" si="3"/>
        <v>35</v>
      </c>
      <c r="K109" t="str">
        <f t="shared" si="2"/>
        <v/>
      </c>
    </row>
    <row r="110" spans="1:11" x14ac:dyDescent="0.3">
      <c r="A110" s="11" t="s">
        <v>382</v>
      </c>
      <c r="B110" s="47" t="s">
        <v>471</v>
      </c>
      <c r="C110" s="41" t="s">
        <v>639</v>
      </c>
      <c r="D110" s="41" t="s">
        <v>640</v>
      </c>
      <c r="E110" s="41"/>
      <c r="F110" s="41"/>
      <c r="G110" s="41"/>
      <c r="H110" s="10">
        <v>11.3</v>
      </c>
      <c r="I110" s="54">
        <f>VLOOKUP(A110,İstasyonlar!$A$2:$D$776,4,0)</f>
        <v>999999999</v>
      </c>
      <c r="J110" s="54">
        <f t="shared" si="3"/>
        <v>36</v>
      </c>
      <c r="K110" t="str">
        <f t="shared" si="2"/>
        <v>Sabit</v>
      </c>
    </row>
    <row r="111" spans="1:11" x14ac:dyDescent="0.3">
      <c r="A111" s="11" t="s">
        <v>382</v>
      </c>
      <c r="B111" s="47" t="s">
        <v>472</v>
      </c>
      <c r="C111" s="41" t="s">
        <v>639</v>
      </c>
      <c r="D111" s="41" t="s">
        <v>640</v>
      </c>
      <c r="E111" s="41"/>
      <c r="F111" s="41"/>
      <c r="G111" s="41"/>
      <c r="H111" s="10">
        <v>4.9000000000000004</v>
      </c>
      <c r="I111" s="54">
        <f>VLOOKUP(A111,İstasyonlar!$A$2:$D$776,4,0)</f>
        <v>999999999</v>
      </c>
      <c r="J111" s="54">
        <f t="shared" si="3"/>
        <v>36</v>
      </c>
      <c r="K111" t="str">
        <f t="shared" si="2"/>
        <v>Sabit</v>
      </c>
    </row>
    <row r="112" spans="1:11" x14ac:dyDescent="0.3">
      <c r="A112" s="11" t="s">
        <v>382</v>
      </c>
      <c r="B112" s="47" t="s">
        <v>473</v>
      </c>
      <c r="C112" s="41" t="s">
        <v>639</v>
      </c>
      <c r="D112" s="41" t="s">
        <v>640</v>
      </c>
      <c r="E112" s="41"/>
      <c r="F112" s="41"/>
      <c r="G112" s="41"/>
      <c r="H112" s="10">
        <v>2.1</v>
      </c>
      <c r="I112" s="54">
        <f>VLOOKUP(A112,İstasyonlar!$A$2:$D$776,4,0)</f>
        <v>999999999</v>
      </c>
      <c r="J112" s="54">
        <f t="shared" si="3"/>
        <v>36</v>
      </c>
      <c r="K112" t="str">
        <f t="shared" si="2"/>
        <v>Sabit</v>
      </c>
    </row>
    <row r="113" spans="1:11" x14ac:dyDescent="0.3">
      <c r="A113" s="11" t="s">
        <v>382</v>
      </c>
      <c r="B113" s="47" t="s">
        <v>474</v>
      </c>
      <c r="C113" s="41" t="s">
        <v>639</v>
      </c>
      <c r="D113" s="41" t="s">
        <v>640</v>
      </c>
      <c r="E113" s="41"/>
      <c r="F113" s="41"/>
      <c r="G113" s="41"/>
      <c r="H113" s="10">
        <v>1</v>
      </c>
      <c r="I113" s="54">
        <f>VLOOKUP(A113,İstasyonlar!$A$2:$D$776,4,0)</f>
        <v>999999999</v>
      </c>
      <c r="J113" s="54">
        <f t="shared" si="3"/>
        <v>36</v>
      </c>
      <c r="K113" t="str">
        <f t="shared" si="2"/>
        <v>Sabit</v>
      </c>
    </row>
    <row r="114" spans="1:11" x14ac:dyDescent="0.3">
      <c r="A114" s="9" t="s">
        <v>35</v>
      </c>
      <c r="B114" s="47" t="s">
        <v>176</v>
      </c>
      <c r="C114" s="41" t="s">
        <v>640</v>
      </c>
      <c r="D114" s="41" t="s">
        <v>639</v>
      </c>
      <c r="E114" s="41" t="s">
        <v>644</v>
      </c>
      <c r="F114" s="41"/>
      <c r="G114" s="41"/>
      <c r="H114" s="10">
        <v>0.5</v>
      </c>
      <c r="I114" s="54">
        <f>VLOOKUP(A114,İstasyonlar!$A$2:$D$776,4,0)</f>
        <v>999999999</v>
      </c>
      <c r="J114" s="54">
        <f t="shared" si="3"/>
        <v>37</v>
      </c>
      <c r="K114" t="str">
        <f t="shared" si="2"/>
        <v>Sabit</v>
      </c>
    </row>
    <row r="115" spans="1:11" x14ac:dyDescent="0.3">
      <c r="A115" s="9" t="s">
        <v>35</v>
      </c>
      <c r="B115" s="47" t="s">
        <v>177</v>
      </c>
      <c r="C115" s="41" t="s">
        <v>640</v>
      </c>
      <c r="D115" s="41" t="s">
        <v>639</v>
      </c>
      <c r="E115" s="41" t="s">
        <v>644</v>
      </c>
      <c r="F115" s="41"/>
      <c r="G115" s="41"/>
      <c r="H115" s="10">
        <v>4.2</v>
      </c>
      <c r="I115" s="54">
        <f>VLOOKUP(A115,İstasyonlar!$A$2:$D$776,4,0)</f>
        <v>999999999</v>
      </c>
      <c r="J115" s="54">
        <f t="shared" si="3"/>
        <v>37</v>
      </c>
      <c r="K115" t="str">
        <f t="shared" si="2"/>
        <v>Sabit</v>
      </c>
    </row>
    <row r="116" spans="1:11" x14ac:dyDescent="0.3">
      <c r="A116" s="9" t="s">
        <v>35</v>
      </c>
      <c r="B116" s="47" t="s">
        <v>178</v>
      </c>
      <c r="C116" s="41" t="s">
        <v>640</v>
      </c>
      <c r="D116" s="41" t="s">
        <v>639</v>
      </c>
      <c r="E116" s="41" t="s">
        <v>644</v>
      </c>
      <c r="F116" s="41"/>
      <c r="G116" s="41"/>
      <c r="H116" s="10">
        <v>6.3</v>
      </c>
      <c r="I116" s="54">
        <f>VLOOKUP(A116,İstasyonlar!$A$2:$D$776,4,0)</f>
        <v>999999999</v>
      </c>
      <c r="J116" s="54">
        <f t="shared" si="3"/>
        <v>37</v>
      </c>
      <c r="K116" t="str">
        <f t="shared" si="2"/>
        <v>Sabit</v>
      </c>
    </row>
    <row r="117" spans="1:11" x14ac:dyDescent="0.3">
      <c r="A117" s="9" t="s">
        <v>35</v>
      </c>
      <c r="B117" s="47" t="s">
        <v>179</v>
      </c>
      <c r="C117" s="41" t="s">
        <v>640</v>
      </c>
      <c r="D117" s="41" t="s">
        <v>639</v>
      </c>
      <c r="E117" s="41" t="s">
        <v>644</v>
      </c>
      <c r="F117" s="41"/>
      <c r="G117" s="41"/>
      <c r="H117" s="10">
        <v>6.4</v>
      </c>
      <c r="I117" s="54">
        <f>VLOOKUP(A117,İstasyonlar!$A$2:$D$776,4,0)</f>
        <v>999999999</v>
      </c>
      <c r="J117" s="54">
        <f t="shared" si="3"/>
        <v>37</v>
      </c>
      <c r="K117" t="str">
        <f t="shared" si="2"/>
        <v>Sabit</v>
      </c>
    </row>
    <row r="118" spans="1:11" x14ac:dyDescent="0.3">
      <c r="A118" s="9" t="s">
        <v>35</v>
      </c>
      <c r="B118" s="47" t="s">
        <v>180</v>
      </c>
      <c r="C118" s="41" t="s">
        <v>640</v>
      </c>
      <c r="D118" s="41" t="s">
        <v>639</v>
      </c>
      <c r="E118" s="41" t="s">
        <v>644</v>
      </c>
      <c r="F118" s="41"/>
      <c r="G118" s="41"/>
      <c r="H118" s="10">
        <v>0.5</v>
      </c>
      <c r="I118" s="54">
        <f>VLOOKUP(A118,İstasyonlar!$A$2:$D$776,4,0)</f>
        <v>999999999</v>
      </c>
      <c r="J118" s="54">
        <f t="shared" si="3"/>
        <v>37</v>
      </c>
      <c r="K118" t="str">
        <f t="shared" si="2"/>
        <v>Sabit</v>
      </c>
    </row>
    <row r="119" spans="1:11" x14ac:dyDescent="0.3">
      <c r="A119" s="11" t="s">
        <v>738</v>
      </c>
      <c r="B119" s="47" t="s">
        <v>739</v>
      </c>
      <c r="C119" s="41" t="s">
        <v>646</v>
      </c>
      <c r="D119" s="41"/>
      <c r="E119" s="41"/>
      <c r="F119" s="41"/>
      <c r="G119" s="41"/>
      <c r="H119" s="10">
        <v>5.0999999999999996</v>
      </c>
      <c r="I119" s="54">
        <f>VLOOKUP(A119,İstasyonlar!$A$2:$D$776,4,0)</f>
        <v>999999999</v>
      </c>
      <c r="J119" s="54">
        <f t="shared" si="3"/>
        <v>38</v>
      </c>
      <c r="K119" t="str">
        <f t="shared" si="2"/>
        <v>Sabit</v>
      </c>
    </row>
    <row r="120" spans="1:11" x14ac:dyDescent="0.3">
      <c r="A120" s="11" t="s">
        <v>738</v>
      </c>
      <c r="B120" s="47" t="s">
        <v>740</v>
      </c>
      <c r="C120" s="41" t="s">
        <v>646</v>
      </c>
      <c r="D120" s="41"/>
      <c r="E120" s="41"/>
      <c r="F120" s="41"/>
      <c r="G120" s="41"/>
      <c r="H120" s="10">
        <v>3.5</v>
      </c>
      <c r="I120" s="54">
        <f>VLOOKUP(A120,İstasyonlar!$A$2:$D$776,4,0)</f>
        <v>999999999</v>
      </c>
      <c r="J120" s="54">
        <f t="shared" si="3"/>
        <v>38</v>
      </c>
      <c r="K120" t="str">
        <f t="shared" si="2"/>
        <v>Sabit</v>
      </c>
    </row>
    <row r="121" spans="1:11" x14ac:dyDescent="0.3">
      <c r="A121" s="11" t="s">
        <v>738</v>
      </c>
      <c r="B121" s="47" t="s">
        <v>741</v>
      </c>
      <c r="C121" s="41" t="s">
        <v>646</v>
      </c>
      <c r="D121" s="41"/>
      <c r="E121" s="41"/>
      <c r="F121" s="41"/>
      <c r="G121" s="41"/>
      <c r="H121" s="10">
        <v>2.8</v>
      </c>
      <c r="I121" s="54">
        <f>VLOOKUP(A121,İstasyonlar!$A$2:$D$776,4,0)</f>
        <v>999999999</v>
      </c>
      <c r="J121" s="54">
        <f t="shared" si="3"/>
        <v>38</v>
      </c>
      <c r="K121" t="str">
        <f t="shared" si="2"/>
        <v>Sabit</v>
      </c>
    </row>
    <row r="122" spans="1:11" x14ac:dyDescent="0.3">
      <c r="A122" s="11" t="s">
        <v>738</v>
      </c>
      <c r="B122" s="47" t="s">
        <v>742</v>
      </c>
      <c r="C122" s="41" t="s">
        <v>646</v>
      </c>
      <c r="D122" s="41"/>
      <c r="E122" s="41"/>
      <c r="F122" s="41"/>
      <c r="G122" s="41"/>
      <c r="H122" s="10">
        <v>1</v>
      </c>
      <c r="I122" s="54">
        <f>VLOOKUP(A122,İstasyonlar!$A$2:$D$776,4,0)</f>
        <v>999999999</v>
      </c>
      <c r="J122" s="54">
        <f t="shared" si="3"/>
        <v>38</v>
      </c>
      <c r="K122" t="str">
        <f t="shared" si="2"/>
        <v>Sabit</v>
      </c>
    </row>
    <row r="123" spans="1:11" x14ac:dyDescent="0.3">
      <c r="A123" s="9" t="s">
        <v>37</v>
      </c>
      <c r="B123" s="47" t="s">
        <v>181</v>
      </c>
      <c r="C123" s="41" t="s">
        <v>644</v>
      </c>
      <c r="D123" s="41" t="s">
        <v>635</v>
      </c>
      <c r="E123" s="41" t="s">
        <v>646</v>
      </c>
      <c r="F123" s="41"/>
      <c r="G123" s="41"/>
      <c r="H123" s="10">
        <v>0.5</v>
      </c>
      <c r="I123" s="54">
        <f>VLOOKUP(A123,İstasyonlar!$A$2:$D$776,4,0)</f>
        <v>1000000</v>
      </c>
      <c r="J123" s="54">
        <f t="shared" si="3"/>
        <v>39</v>
      </c>
      <c r="K123" t="str">
        <f t="shared" si="2"/>
        <v/>
      </c>
    </row>
    <row r="124" spans="1:11" x14ac:dyDescent="0.3">
      <c r="A124" s="9" t="s">
        <v>37</v>
      </c>
      <c r="B124" s="47" t="s">
        <v>182</v>
      </c>
      <c r="C124" s="41" t="s">
        <v>644</v>
      </c>
      <c r="D124" s="41" t="s">
        <v>635</v>
      </c>
      <c r="E124" s="41" t="s">
        <v>646</v>
      </c>
      <c r="F124" s="41"/>
      <c r="G124" s="41"/>
      <c r="H124" s="10">
        <v>2.8</v>
      </c>
      <c r="I124" s="54">
        <f>VLOOKUP(A124,İstasyonlar!$A$2:$D$776,4,0)</f>
        <v>1000000</v>
      </c>
      <c r="J124" s="54">
        <f t="shared" si="3"/>
        <v>39</v>
      </c>
      <c r="K124" t="str">
        <f t="shared" si="2"/>
        <v/>
      </c>
    </row>
    <row r="125" spans="1:11" x14ac:dyDescent="0.3">
      <c r="A125" s="9" t="s">
        <v>37</v>
      </c>
      <c r="B125" s="47" t="s">
        <v>183</v>
      </c>
      <c r="C125" s="41" t="s">
        <v>644</v>
      </c>
      <c r="D125" s="41" t="s">
        <v>635</v>
      </c>
      <c r="E125" s="41" t="s">
        <v>646</v>
      </c>
      <c r="F125" s="41"/>
      <c r="G125" s="41"/>
      <c r="H125" s="10">
        <v>5.5</v>
      </c>
      <c r="I125" s="54">
        <f>VLOOKUP(A125,İstasyonlar!$A$2:$D$776,4,0)</f>
        <v>1000000</v>
      </c>
      <c r="J125" s="54">
        <f t="shared" si="3"/>
        <v>39</v>
      </c>
      <c r="K125" t="str">
        <f t="shared" si="2"/>
        <v/>
      </c>
    </row>
    <row r="126" spans="1:11" x14ac:dyDescent="0.3">
      <c r="A126" s="9" t="s">
        <v>37</v>
      </c>
      <c r="B126" s="47" t="s">
        <v>184</v>
      </c>
      <c r="C126" s="41" t="s">
        <v>644</v>
      </c>
      <c r="D126" s="41" t="s">
        <v>635</v>
      </c>
      <c r="E126" s="41" t="s">
        <v>646</v>
      </c>
      <c r="F126" s="41"/>
      <c r="G126" s="41"/>
      <c r="H126" s="10">
        <v>3.8</v>
      </c>
      <c r="I126" s="54">
        <f>VLOOKUP(A126,İstasyonlar!$A$2:$D$776,4,0)</f>
        <v>1000000</v>
      </c>
      <c r="J126" s="54">
        <f t="shared" si="3"/>
        <v>39</v>
      </c>
      <c r="K126" t="str">
        <f t="shared" si="2"/>
        <v/>
      </c>
    </row>
    <row r="127" spans="1:11" x14ac:dyDescent="0.3">
      <c r="A127" s="9" t="s">
        <v>37</v>
      </c>
      <c r="B127" s="47" t="s">
        <v>186</v>
      </c>
      <c r="C127" s="41" t="s">
        <v>644</v>
      </c>
      <c r="D127" s="41" t="s">
        <v>635</v>
      </c>
      <c r="E127" s="41" t="s">
        <v>646</v>
      </c>
      <c r="F127" s="41"/>
      <c r="G127" s="41"/>
      <c r="H127" s="10">
        <v>2.8</v>
      </c>
      <c r="I127" s="54">
        <f>VLOOKUP(A127,İstasyonlar!$A$2:$D$776,4,0)</f>
        <v>1000000</v>
      </c>
      <c r="J127" s="54">
        <f t="shared" si="3"/>
        <v>39</v>
      </c>
      <c r="K127" t="str">
        <f t="shared" si="2"/>
        <v/>
      </c>
    </row>
    <row r="128" spans="1:11" x14ac:dyDescent="0.3">
      <c r="A128" s="9" t="s">
        <v>37</v>
      </c>
      <c r="B128" s="47" t="s">
        <v>185</v>
      </c>
      <c r="C128" s="41" t="s">
        <v>644</v>
      </c>
      <c r="D128" s="41" t="s">
        <v>635</v>
      </c>
      <c r="E128" s="41" t="s">
        <v>646</v>
      </c>
      <c r="F128" s="41"/>
      <c r="G128" s="41"/>
      <c r="H128" s="10">
        <v>0.5</v>
      </c>
      <c r="I128" s="54">
        <f>VLOOKUP(A128,İstasyonlar!$A$2:$D$776,4,0)</f>
        <v>1000000</v>
      </c>
      <c r="J128" s="54">
        <f t="shared" si="3"/>
        <v>39</v>
      </c>
      <c r="K128" t="str">
        <f t="shared" si="2"/>
        <v/>
      </c>
    </row>
    <row r="129" spans="1:11" x14ac:dyDescent="0.3">
      <c r="A129" s="9" t="s">
        <v>58</v>
      </c>
      <c r="B129" s="47" t="s">
        <v>187</v>
      </c>
      <c r="C129" s="41" t="s">
        <v>647</v>
      </c>
      <c r="D129" s="41" t="s">
        <v>646</v>
      </c>
      <c r="E129" s="41"/>
      <c r="F129" s="41"/>
      <c r="G129" s="41"/>
      <c r="H129" s="10">
        <v>5.3</v>
      </c>
      <c r="I129" s="54">
        <f>VLOOKUP(A129,İstasyonlar!$A$2:$D$776,4,0)</f>
        <v>999999999</v>
      </c>
      <c r="J129" s="54">
        <f t="shared" si="3"/>
        <v>40</v>
      </c>
      <c r="K129" t="str">
        <f t="shared" si="2"/>
        <v>Sabit</v>
      </c>
    </row>
    <row r="130" spans="1:11" x14ac:dyDescent="0.3">
      <c r="A130" s="9" t="s">
        <v>58</v>
      </c>
      <c r="B130" s="47" t="s">
        <v>188</v>
      </c>
      <c r="C130" s="41" t="s">
        <v>647</v>
      </c>
      <c r="D130" s="41" t="s">
        <v>646</v>
      </c>
      <c r="E130" s="41"/>
      <c r="F130" s="41"/>
      <c r="G130" s="41"/>
      <c r="H130" s="10">
        <v>2.6</v>
      </c>
      <c r="I130" s="54">
        <f>VLOOKUP(A130,İstasyonlar!$A$2:$D$776,4,0)</f>
        <v>999999999</v>
      </c>
      <c r="J130" s="54">
        <f t="shared" si="3"/>
        <v>40</v>
      </c>
      <c r="K130" t="str">
        <f t="shared" ref="K130:K193" si="4">IF(I130=1000000,"","Sabit")</f>
        <v>Sabit</v>
      </c>
    </row>
    <row r="131" spans="1:11" x14ac:dyDescent="0.3">
      <c r="A131" s="9" t="s">
        <v>58</v>
      </c>
      <c r="B131" s="47" t="s">
        <v>189</v>
      </c>
      <c r="C131" s="41" t="s">
        <v>647</v>
      </c>
      <c r="D131" s="41" t="s">
        <v>646</v>
      </c>
      <c r="E131" s="41"/>
      <c r="F131" s="41"/>
      <c r="G131" s="41"/>
      <c r="H131" s="10">
        <v>0.5</v>
      </c>
      <c r="I131" s="54">
        <f>VLOOKUP(A131,İstasyonlar!$A$2:$D$776,4,0)</f>
        <v>999999999</v>
      </c>
      <c r="J131" s="54">
        <f t="shared" ref="J131:J194" si="5">IF(A131=A130, J130, J130+1)</f>
        <v>40</v>
      </c>
      <c r="K131" t="str">
        <f t="shared" si="4"/>
        <v>Sabit</v>
      </c>
    </row>
    <row r="132" spans="1:11" x14ac:dyDescent="0.3">
      <c r="A132" s="9" t="s">
        <v>36</v>
      </c>
      <c r="B132" s="47" t="s">
        <v>192</v>
      </c>
      <c r="C132" s="41" t="s">
        <v>651</v>
      </c>
      <c r="D132" s="41"/>
      <c r="E132" s="41"/>
      <c r="F132" s="41" t="s">
        <v>644</v>
      </c>
      <c r="G132" s="41"/>
      <c r="H132" s="10">
        <v>5.8</v>
      </c>
      <c r="I132" s="54">
        <f>VLOOKUP(A132,İstasyonlar!$A$2:$D$776,4,0)</f>
        <v>1000000</v>
      </c>
      <c r="J132" s="54">
        <f t="shared" si="5"/>
        <v>41</v>
      </c>
      <c r="K132" t="str">
        <f t="shared" si="4"/>
        <v/>
      </c>
    </row>
    <row r="133" spans="1:11" x14ac:dyDescent="0.3">
      <c r="A133" s="9" t="s">
        <v>36</v>
      </c>
      <c r="B133" s="47" t="s">
        <v>193</v>
      </c>
      <c r="C133" s="41" t="s">
        <v>651</v>
      </c>
      <c r="D133" s="41"/>
      <c r="E133" s="41"/>
      <c r="F133" s="41" t="s">
        <v>644</v>
      </c>
      <c r="G133" s="41"/>
      <c r="H133" s="10">
        <v>5.6</v>
      </c>
      <c r="I133" s="54">
        <f>VLOOKUP(A133,İstasyonlar!$A$2:$D$776,4,0)</f>
        <v>1000000</v>
      </c>
      <c r="J133" s="54">
        <f t="shared" si="5"/>
        <v>41</v>
      </c>
      <c r="K133" t="str">
        <f t="shared" si="4"/>
        <v/>
      </c>
    </row>
    <row r="134" spans="1:11" x14ac:dyDescent="0.3">
      <c r="A134" s="9" t="s">
        <v>36</v>
      </c>
      <c r="B134" s="47" t="s">
        <v>190</v>
      </c>
      <c r="C134" s="41" t="s">
        <v>651</v>
      </c>
      <c r="D134" s="41"/>
      <c r="E134" s="41"/>
      <c r="F134" s="41" t="s">
        <v>644</v>
      </c>
      <c r="G134" s="41"/>
      <c r="H134" s="10">
        <v>4.0999999999999996</v>
      </c>
      <c r="I134" s="54">
        <f>VLOOKUP(A134,İstasyonlar!$A$2:$D$776,4,0)</f>
        <v>1000000</v>
      </c>
      <c r="J134" s="54">
        <f t="shared" si="5"/>
        <v>41</v>
      </c>
      <c r="K134" t="str">
        <f t="shared" si="4"/>
        <v/>
      </c>
    </row>
    <row r="135" spans="1:11" x14ac:dyDescent="0.3">
      <c r="A135" s="9" t="s">
        <v>36</v>
      </c>
      <c r="B135" s="47" t="s">
        <v>191</v>
      </c>
      <c r="C135" s="41" t="s">
        <v>651</v>
      </c>
      <c r="D135" s="41"/>
      <c r="E135" s="41"/>
      <c r="F135" s="41" t="s">
        <v>644</v>
      </c>
      <c r="G135" s="41"/>
      <c r="H135" s="10">
        <v>4.0999999999999996</v>
      </c>
      <c r="I135" s="54">
        <f>VLOOKUP(A135,İstasyonlar!$A$2:$D$776,4,0)</f>
        <v>1000000</v>
      </c>
      <c r="J135" s="54">
        <f t="shared" si="5"/>
        <v>41</v>
      </c>
      <c r="K135" t="str">
        <f t="shared" si="4"/>
        <v/>
      </c>
    </row>
    <row r="136" spans="1:11" x14ac:dyDescent="0.3">
      <c r="A136" s="9" t="s">
        <v>30</v>
      </c>
      <c r="B136" s="47" t="s">
        <v>195</v>
      </c>
      <c r="C136" s="41" t="s">
        <v>652</v>
      </c>
      <c r="D136" s="41" t="s">
        <v>653</v>
      </c>
      <c r="E136" s="41"/>
      <c r="F136" s="41"/>
      <c r="G136" s="41"/>
      <c r="H136" s="10">
        <v>2.6</v>
      </c>
      <c r="I136" s="54">
        <f>VLOOKUP(A136,İstasyonlar!$A$2:$D$776,4,0)</f>
        <v>1000000</v>
      </c>
      <c r="J136" s="54">
        <f t="shared" si="5"/>
        <v>42</v>
      </c>
      <c r="K136" t="str">
        <f t="shared" si="4"/>
        <v/>
      </c>
    </row>
    <row r="137" spans="1:11" x14ac:dyDescent="0.3">
      <c r="A137" s="9" t="s">
        <v>30</v>
      </c>
      <c r="B137" s="47" t="s">
        <v>196</v>
      </c>
      <c r="C137" s="41" t="s">
        <v>652</v>
      </c>
      <c r="D137" s="41" t="s">
        <v>653</v>
      </c>
      <c r="E137" s="41"/>
      <c r="F137" s="41"/>
      <c r="G137" s="41"/>
      <c r="H137" s="10">
        <v>2.6</v>
      </c>
      <c r="I137" s="54">
        <f>VLOOKUP(A137,İstasyonlar!$A$2:$D$776,4,0)</f>
        <v>1000000</v>
      </c>
      <c r="J137" s="54">
        <f t="shared" si="5"/>
        <v>42</v>
      </c>
      <c r="K137" t="str">
        <f t="shared" si="4"/>
        <v/>
      </c>
    </row>
    <row r="138" spans="1:11" x14ac:dyDescent="0.3">
      <c r="A138" s="9" t="s">
        <v>30</v>
      </c>
      <c r="B138" s="47" t="s">
        <v>194</v>
      </c>
      <c r="C138" s="41" t="s">
        <v>652</v>
      </c>
      <c r="D138" s="41" t="s">
        <v>653</v>
      </c>
      <c r="E138" s="41"/>
      <c r="F138" s="41"/>
      <c r="G138" s="41"/>
      <c r="H138" s="10">
        <v>4.2</v>
      </c>
      <c r="I138" s="54">
        <f>VLOOKUP(A138,İstasyonlar!$A$2:$D$776,4,0)</f>
        <v>1000000</v>
      </c>
      <c r="J138" s="54">
        <f t="shared" si="5"/>
        <v>42</v>
      </c>
      <c r="K138" t="str">
        <f t="shared" si="4"/>
        <v/>
      </c>
    </row>
    <row r="139" spans="1:11" x14ac:dyDescent="0.3">
      <c r="A139" s="9" t="s">
        <v>30</v>
      </c>
      <c r="B139" s="47" t="s">
        <v>197</v>
      </c>
      <c r="C139" s="41" t="s">
        <v>652</v>
      </c>
      <c r="D139" s="41" t="s">
        <v>653</v>
      </c>
      <c r="E139" s="41"/>
      <c r="F139" s="41"/>
      <c r="G139" s="41"/>
      <c r="H139" s="10">
        <v>2.8</v>
      </c>
      <c r="I139" s="54">
        <f>VLOOKUP(A139,İstasyonlar!$A$2:$D$776,4,0)</f>
        <v>1000000</v>
      </c>
      <c r="J139" s="54">
        <f t="shared" si="5"/>
        <v>42</v>
      </c>
      <c r="K139" t="str">
        <f t="shared" si="4"/>
        <v/>
      </c>
    </row>
    <row r="140" spans="1:11" x14ac:dyDescent="0.3">
      <c r="A140" s="9" t="s">
        <v>38</v>
      </c>
      <c r="B140" s="47" t="s">
        <v>198</v>
      </c>
      <c r="C140" s="41" t="s">
        <v>653</v>
      </c>
      <c r="D140" s="41" t="s">
        <v>652</v>
      </c>
      <c r="E140" s="41"/>
      <c r="F140" s="41"/>
      <c r="G140" s="41"/>
      <c r="H140" s="10">
        <v>0.5</v>
      </c>
      <c r="I140" s="54">
        <f>VLOOKUP(A140,İstasyonlar!$A$2:$D$776,4,0)</f>
        <v>999999999</v>
      </c>
      <c r="J140" s="54">
        <f t="shared" si="5"/>
        <v>43</v>
      </c>
      <c r="K140" t="str">
        <f t="shared" si="4"/>
        <v>Sabit</v>
      </c>
    </row>
    <row r="141" spans="1:11" x14ac:dyDescent="0.3">
      <c r="A141" s="9" t="s">
        <v>38</v>
      </c>
      <c r="B141" s="47" t="s">
        <v>199</v>
      </c>
      <c r="C141" s="41" t="s">
        <v>653</v>
      </c>
      <c r="D141" s="41" t="s">
        <v>652</v>
      </c>
      <c r="E141" s="41"/>
      <c r="F141" s="41"/>
      <c r="G141" s="41"/>
      <c r="H141" s="10">
        <v>4</v>
      </c>
      <c r="I141" s="54">
        <f>VLOOKUP(A141,İstasyonlar!$A$2:$D$776,4,0)</f>
        <v>999999999</v>
      </c>
      <c r="J141" s="54">
        <f t="shared" si="5"/>
        <v>43</v>
      </c>
      <c r="K141" t="str">
        <f t="shared" si="4"/>
        <v>Sabit</v>
      </c>
    </row>
    <row r="142" spans="1:11" x14ac:dyDescent="0.3">
      <c r="A142" s="9" t="s">
        <v>38</v>
      </c>
      <c r="B142" s="47" t="s">
        <v>200</v>
      </c>
      <c r="C142" s="41" t="s">
        <v>653</v>
      </c>
      <c r="D142" s="41" t="s">
        <v>652</v>
      </c>
      <c r="E142" s="41"/>
      <c r="F142" s="41"/>
      <c r="G142" s="41"/>
      <c r="H142" s="10">
        <v>3.1</v>
      </c>
      <c r="I142" s="54">
        <f>VLOOKUP(A142,İstasyonlar!$A$2:$D$776,4,0)</f>
        <v>999999999</v>
      </c>
      <c r="J142" s="54">
        <f t="shared" si="5"/>
        <v>43</v>
      </c>
      <c r="K142" t="str">
        <f t="shared" si="4"/>
        <v>Sabit</v>
      </c>
    </row>
    <row r="143" spans="1:11" x14ac:dyDescent="0.3">
      <c r="A143" s="9" t="s">
        <v>38</v>
      </c>
      <c r="B143" s="47" t="s">
        <v>201</v>
      </c>
      <c r="C143" s="41" t="s">
        <v>653</v>
      </c>
      <c r="D143" s="41" t="s">
        <v>652</v>
      </c>
      <c r="E143" s="41"/>
      <c r="F143" s="41"/>
      <c r="G143" s="41"/>
      <c r="H143" s="10">
        <v>2.6</v>
      </c>
      <c r="I143" s="54">
        <f>VLOOKUP(A143,İstasyonlar!$A$2:$D$776,4,0)</f>
        <v>999999999</v>
      </c>
      <c r="J143" s="54">
        <f t="shared" si="5"/>
        <v>43</v>
      </c>
      <c r="K143" t="str">
        <f t="shared" si="4"/>
        <v>Sabit</v>
      </c>
    </row>
    <row r="144" spans="1:11" x14ac:dyDescent="0.3">
      <c r="A144" s="9" t="s">
        <v>38</v>
      </c>
      <c r="B144" s="47" t="s">
        <v>202</v>
      </c>
      <c r="C144" s="41" t="s">
        <v>653</v>
      </c>
      <c r="D144" s="41" t="s">
        <v>652</v>
      </c>
      <c r="E144" s="41"/>
      <c r="F144" s="41"/>
      <c r="G144" s="41"/>
      <c r="H144" s="10">
        <v>0.5</v>
      </c>
      <c r="I144" s="54">
        <f>VLOOKUP(A144,İstasyonlar!$A$2:$D$776,4,0)</f>
        <v>999999999</v>
      </c>
      <c r="J144" s="54">
        <f t="shared" si="5"/>
        <v>43</v>
      </c>
      <c r="K144" t="str">
        <f t="shared" si="4"/>
        <v>Sabit</v>
      </c>
    </row>
    <row r="145" spans="1:11" x14ac:dyDescent="0.3">
      <c r="A145" s="11" t="s">
        <v>40</v>
      </c>
      <c r="B145" s="48" t="s">
        <v>203</v>
      </c>
      <c r="C145" s="41" t="s">
        <v>655</v>
      </c>
      <c r="D145" s="41" t="s">
        <v>656</v>
      </c>
      <c r="E145" s="41"/>
      <c r="F145" s="41"/>
      <c r="G145" s="41"/>
      <c r="H145" s="10">
        <v>5.0999999999999996</v>
      </c>
      <c r="I145" s="54">
        <f>VLOOKUP(A145,İstasyonlar!$A$2:$D$776,4,0)</f>
        <v>1000000</v>
      </c>
      <c r="J145" s="54">
        <f t="shared" si="5"/>
        <v>44</v>
      </c>
      <c r="K145" t="str">
        <f t="shared" si="4"/>
        <v/>
      </c>
    </row>
    <row r="146" spans="1:11" x14ac:dyDescent="0.3">
      <c r="A146" s="11" t="s">
        <v>40</v>
      </c>
      <c r="B146" s="48" t="s">
        <v>204</v>
      </c>
      <c r="C146" s="41" t="s">
        <v>655</v>
      </c>
      <c r="D146" s="41" t="s">
        <v>656</v>
      </c>
      <c r="E146" s="41"/>
      <c r="F146" s="41"/>
      <c r="G146" s="41"/>
      <c r="H146" s="10">
        <v>4.0999999999999996</v>
      </c>
      <c r="I146" s="54">
        <f>VLOOKUP(A146,İstasyonlar!$A$2:$D$776,4,0)</f>
        <v>1000000</v>
      </c>
      <c r="J146" s="54">
        <f t="shared" si="5"/>
        <v>44</v>
      </c>
      <c r="K146" t="str">
        <f t="shared" si="4"/>
        <v/>
      </c>
    </row>
    <row r="147" spans="1:11" x14ac:dyDescent="0.3">
      <c r="A147" s="11" t="s">
        <v>40</v>
      </c>
      <c r="B147" s="48" t="s">
        <v>205</v>
      </c>
      <c r="C147" s="41" t="s">
        <v>655</v>
      </c>
      <c r="D147" s="41" t="s">
        <v>656</v>
      </c>
      <c r="E147" s="41"/>
      <c r="F147" s="41"/>
      <c r="G147" s="41"/>
      <c r="H147" s="10">
        <v>4.0999999999999996</v>
      </c>
      <c r="I147" s="54">
        <f>VLOOKUP(A147,İstasyonlar!$A$2:$D$776,4,0)</f>
        <v>1000000</v>
      </c>
      <c r="J147" s="54">
        <f t="shared" si="5"/>
        <v>44</v>
      </c>
      <c r="K147" t="str">
        <f t="shared" si="4"/>
        <v/>
      </c>
    </row>
    <row r="148" spans="1:11" x14ac:dyDescent="0.3">
      <c r="A148" s="11" t="s">
        <v>39</v>
      </c>
      <c r="B148" s="48" t="s">
        <v>206</v>
      </c>
      <c r="C148" s="41" t="s">
        <v>656</v>
      </c>
      <c r="D148" s="41" t="s">
        <v>651</v>
      </c>
      <c r="E148" s="41"/>
      <c r="F148" s="41"/>
      <c r="G148" s="41"/>
      <c r="H148" s="10">
        <v>4.0999999999999996</v>
      </c>
      <c r="I148" s="54">
        <f>VLOOKUP(A148,İstasyonlar!$A$2:$D$776,4,0)</f>
        <v>1000000</v>
      </c>
      <c r="J148" s="54">
        <f t="shared" si="5"/>
        <v>45</v>
      </c>
      <c r="K148" t="str">
        <f t="shared" si="4"/>
        <v/>
      </c>
    </row>
    <row r="149" spans="1:11" x14ac:dyDescent="0.3">
      <c r="A149" s="11" t="s">
        <v>39</v>
      </c>
      <c r="B149" s="48" t="s">
        <v>209</v>
      </c>
      <c r="C149" s="41" t="s">
        <v>656</v>
      </c>
      <c r="D149" s="41" t="s">
        <v>651</v>
      </c>
      <c r="E149" s="41"/>
      <c r="F149" s="41"/>
      <c r="G149" s="41"/>
      <c r="H149" s="10">
        <v>4.0999999999999996</v>
      </c>
      <c r="I149" s="54">
        <f>VLOOKUP(A149,İstasyonlar!$A$2:$D$776,4,0)</f>
        <v>1000000</v>
      </c>
      <c r="J149" s="54">
        <f t="shared" si="5"/>
        <v>45</v>
      </c>
      <c r="K149" t="str">
        <f t="shared" si="4"/>
        <v/>
      </c>
    </row>
    <row r="150" spans="1:11" x14ac:dyDescent="0.3">
      <c r="A150" s="11" t="s">
        <v>39</v>
      </c>
      <c r="B150" s="48" t="s">
        <v>207</v>
      </c>
      <c r="C150" s="41" t="s">
        <v>656</v>
      </c>
      <c r="D150" s="41" t="s">
        <v>651</v>
      </c>
      <c r="E150" s="41"/>
      <c r="F150" s="41"/>
      <c r="G150" s="41"/>
      <c r="H150" s="10">
        <v>4.0999999999999996</v>
      </c>
      <c r="I150" s="54">
        <f>VLOOKUP(A150,İstasyonlar!$A$2:$D$776,4,0)</f>
        <v>1000000</v>
      </c>
      <c r="J150" s="54">
        <f t="shared" si="5"/>
        <v>45</v>
      </c>
      <c r="K150" t="str">
        <f t="shared" si="4"/>
        <v/>
      </c>
    </row>
    <row r="151" spans="1:11" x14ac:dyDescent="0.3">
      <c r="A151" s="11" t="s">
        <v>39</v>
      </c>
      <c r="B151" s="48" t="s">
        <v>208</v>
      </c>
      <c r="C151" s="41" t="s">
        <v>656</v>
      </c>
      <c r="D151" s="41" t="s">
        <v>651</v>
      </c>
      <c r="E151" s="41"/>
      <c r="F151" s="41"/>
      <c r="G151" s="41"/>
      <c r="H151" s="10">
        <v>6.5</v>
      </c>
      <c r="I151" s="54">
        <f>VLOOKUP(A151,İstasyonlar!$A$2:$D$776,4,0)</f>
        <v>1000000</v>
      </c>
      <c r="J151" s="54">
        <f t="shared" si="5"/>
        <v>45</v>
      </c>
      <c r="K151" t="str">
        <f t="shared" si="4"/>
        <v/>
      </c>
    </row>
    <row r="152" spans="1:11" x14ac:dyDescent="0.3">
      <c r="A152" s="11" t="s">
        <v>39</v>
      </c>
      <c r="B152" s="48" t="s">
        <v>210</v>
      </c>
      <c r="C152" s="41" t="s">
        <v>656</v>
      </c>
      <c r="D152" s="41" t="s">
        <v>651</v>
      </c>
      <c r="E152" s="41"/>
      <c r="F152" s="41"/>
      <c r="G152" s="41"/>
      <c r="H152" s="10">
        <v>3.8</v>
      </c>
      <c r="I152" s="54">
        <f>VLOOKUP(A152,İstasyonlar!$A$2:$D$776,4,0)</f>
        <v>1000000</v>
      </c>
      <c r="J152" s="54">
        <f t="shared" si="5"/>
        <v>45</v>
      </c>
      <c r="K152" t="str">
        <f t="shared" si="4"/>
        <v/>
      </c>
    </row>
    <row r="153" spans="1:11" x14ac:dyDescent="0.3">
      <c r="A153" s="11" t="s">
        <v>41</v>
      </c>
      <c r="B153" s="48" t="s">
        <v>211</v>
      </c>
      <c r="C153" s="41" t="s">
        <v>657</v>
      </c>
      <c r="D153" s="41" t="s">
        <v>658</v>
      </c>
      <c r="E153" s="41"/>
      <c r="F153" s="41"/>
      <c r="G153" s="41"/>
      <c r="H153" s="10">
        <v>0.5</v>
      </c>
      <c r="I153" s="54">
        <f>VLOOKUP(A153,İstasyonlar!$A$2:$D$776,4,0)</f>
        <v>999999999</v>
      </c>
      <c r="J153" s="54">
        <f t="shared" si="5"/>
        <v>46</v>
      </c>
      <c r="K153" t="str">
        <f t="shared" si="4"/>
        <v>Sabit</v>
      </c>
    </row>
    <row r="154" spans="1:11" x14ac:dyDescent="0.3">
      <c r="A154" s="11" t="s">
        <v>41</v>
      </c>
      <c r="B154" s="48" t="s">
        <v>212</v>
      </c>
      <c r="C154" s="41" t="s">
        <v>657</v>
      </c>
      <c r="D154" s="41" t="s">
        <v>658</v>
      </c>
      <c r="E154" s="41"/>
      <c r="F154" s="41"/>
      <c r="G154" s="41"/>
      <c r="H154" s="10">
        <v>12</v>
      </c>
      <c r="I154" s="54">
        <f>VLOOKUP(A154,İstasyonlar!$A$2:$D$776,4,0)</f>
        <v>999999999</v>
      </c>
      <c r="J154" s="54">
        <f t="shared" si="5"/>
        <v>46</v>
      </c>
      <c r="K154" t="str">
        <f t="shared" si="4"/>
        <v>Sabit</v>
      </c>
    </row>
    <row r="155" spans="1:11" x14ac:dyDescent="0.3">
      <c r="A155" s="11" t="s">
        <v>41</v>
      </c>
      <c r="B155" s="48" t="s">
        <v>213</v>
      </c>
      <c r="C155" s="41" t="s">
        <v>657</v>
      </c>
      <c r="D155" s="41" t="s">
        <v>658</v>
      </c>
      <c r="E155" s="41"/>
      <c r="F155" s="41"/>
      <c r="G155" s="41"/>
      <c r="H155" s="10">
        <v>4.0999999999999996</v>
      </c>
      <c r="I155" s="54">
        <f>VLOOKUP(A155,İstasyonlar!$A$2:$D$776,4,0)</f>
        <v>999999999</v>
      </c>
      <c r="J155" s="54">
        <f t="shared" si="5"/>
        <v>46</v>
      </c>
      <c r="K155" t="str">
        <f t="shared" si="4"/>
        <v>Sabit</v>
      </c>
    </row>
    <row r="156" spans="1:11" x14ac:dyDescent="0.3">
      <c r="A156" s="11" t="s">
        <v>41</v>
      </c>
      <c r="B156" s="48" t="s">
        <v>214</v>
      </c>
      <c r="C156" s="41" t="s">
        <v>657</v>
      </c>
      <c r="D156" s="41" t="s">
        <v>658</v>
      </c>
      <c r="E156" s="41"/>
      <c r="F156" s="41"/>
      <c r="G156" s="41"/>
      <c r="H156" s="10">
        <v>0.5</v>
      </c>
      <c r="I156" s="54">
        <f>VLOOKUP(A156,İstasyonlar!$A$2:$D$776,4,0)</f>
        <v>999999999</v>
      </c>
      <c r="J156" s="54">
        <f t="shared" si="5"/>
        <v>46</v>
      </c>
      <c r="K156" t="str">
        <f t="shared" si="4"/>
        <v>Sabit</v>
      </c>
    </row>
    <row r="157" spans="1:11" x14ac:dyDescent="0.3">
      <c r="A157" s="11" t="s">
        <v>42</v>
      </c>
      <c r="B157" s="48" t="s">
        <v>215</v>
      </c>
      <c r="C157" s="41" t="s">
        <v>658</v>
      </c>
      <c r="D157" s="41" t="s">
        <v>657</v>
      </c>
      <c r="E157" s="41"/>
      <c r="F157" s="41"/>
      <c r="G157" s="41"/>
      <c r="H157" s="10">
        <v>0.5</v>
      </c>
      <c r="I157" s="54">
        <f>VLOOKUP(A157,İstasyonlar!$A$2:$D$776,4,0)</f>
        <v>999999999</v>
      </c>
      <c r="J157" s="54">
        <f t="shared" si="5"/>
        <v>47</v>
      </c>
      <c r="K157" t="str">
        <f t="shared" si="4"/>
        <v>Sabit</v>
      </c>
    </row>
    <row r="158" spans="1:11" x14ac:dyDescent="0.3">
      <c r="A158" s="11" t="s">
        <v>42</v>
      </c>
      <c r="B158" s="48" t="s">
        <v>216</v>
      </c>
      <c r="C158" s="41" t="s">
        <v>658</v>
      </c>
      <c r="D158" s="41" t="s">
        <v>657</v>
      </c>
      <c r="E158" s="41"/>
      <c r="F158" s="41"/>
      <c r="G158" s="41"/>
      <c r="H158" s="10">
        <v>12</v>
      </c>
      <c r="I158" s="54">
        <f>VLOOKUP(A158,İstasyonlar!$A$2:$D$776,4,0)</f>
        <v>999999999</v>
      </c>
      <c r="J158" s="54">
        <f t="shared" si="5"/>
        <v>47</v>
      </c>
      <c r="K158" t="str">
        <f t="shared" si="4"/>
        <v>Sabit</v>
      </c>
    </row>
    <row r="159" spans="1:11" x14ac:dyDescent="0.3">
      <c r="A159" s="11" t="s">
        <v>42</v>
      </c>
      <c r="B159" s="48" t="s">
        <v>217</v>
      </c>
      <c r="C159" s="41" t="s">
        <v>658</v>
      </c>
      <c r="D159" s="41" t="s">
        <v>657</v>
      </c>
      <c r="E159" s="41"/>
      <c r="F159" s="41"/>
      <c r="G159" s="41"/>
      <c r="H159" s="10">
        <v>4.0999999999999996</v>
      </c>
      <c r="I159" s="54">
        <f>VLOOKUP(A159,İstasyonlar!$A$2:$D$776,4,0)</f>
        <v>999999999</v>
      </c>
      <c r="J159" s="54">
        <f t="shared" si="5"/>
        <v>47</v>
      </c>
      <c r="K159" t="str">
        <f t="shared" si="4"/>
        <v>Sabit</v>
      </c>
    </row>
    <row r="160" spans="1:11" x14ac:dyDescent="0.3">
      <c r="A160" s="11" t="s">
        <v>42</v>
      </c>
      <c r="B160" s="48" t="s">
        <v>218</v>
      </c>
      <c r="C160" s="41" t="s">
        <v>658</v>
      </c>
      <c r="D160" s="41" t="s">
        <v>657</v>
      </c>
      <c r="E160" s="41"/>
      <c r="F160" s="41"/>
      <c r="G160" s="41"/>
      <c r="H160" s="10">
        <v>0.5</v>
      </c>
      <c r="I160" s="54">
        <f>VLOOKUP(A160,İstasyonlar!$A$2:$D$776,4,0)</f>
        <v>999999999</v>
      </c>
      <c r="J160" s="54">
        <f t="shared" si="5"/>
        <v>47</v>
      </c>
      <c r="K160" t="str">
        <f t="shared" si="4"/>
        <v>Sabit</v>
      </c>
    </row>
    <row r="161" spans="1:11" x14ac:dyDescent="0.3">
      <c r="A161" s="11" t="s">
        <v>43</v>
      </c>
      <c r="B161" s="48" t="s">
        <v>219</v>
      </c>
      <c r="C161" s="41" t="s">
        <v>659</v>
      </c>
      <c r="D161" s="41" t="s">
        <v>660</v>
      </c>
      <c r="E161" s="41"/>
      <c r="F161" s="41"/>
      <c r="G161" s="41"/>
      <c r="H161" s="10">
        <v>5.0999999999999996</v>
      </c>
      <c r="I161" s="54">
        <f>VLOOKUP(A161,İstasyonlar!$A$2:$D$776,4,0)</f>
        <v>1000000</v>
      </c>
      <c r="J161" s="54">
        <f t="shared" si="5"/>
        <v>48</v>
      </c>
      <c r="K161" t="str">
        <f t="shared" si="4"/>
        <v/>
      </c>
    </row>
    <row r="162" spans="1:11" x14ac:dyDescent="0.3">
      <c r="A162" s="11" t="s">
        <v>43</v>
      </c>
      <c r="B162" s="48" t="s">
        <v>220</v>
      </c>
      <c r="C162" s="41" t="s">
        <v>659</v>
      </c>
      <c r="D162" s="41" t="s">
        <v>660</v>
      </c>
      <c r="E162" s="41"/>
      <c r="F162" s="41"/>
      <c r="G162" s="41"/>
      <c r="H162" s="10">
        <v>6</v>
      </c>
      <c r="I162" s="54">
        <f>VLOOKUP(A162,İstasyonlar!$A$2:$D$776,4,0)</f>
        <v>1000000</v>
      </c>
      <c r="J162" s="54">
        <f t="shared" si="5"/>
        <v>48</v>
      </c>
      <c r="K162" t="str">
        <f t="shared" si="4"/>
        <v/>
      </c>
    </row>
    <row r="163" spans="1:11" x14ac:dyDescent="0.3">
      <c r="A163" s="11" t="s">
        <v>43</v>
      </c>
      <c r="B163" s="48" t="s">
        <v>221</v>
      </c>
      <c r="C163" s="41" t="s">
        <v>659</v>
      </c>
      <c r="D163" s="41" t="s">
        <v>660</v>
      </c>
      <c r="E163" s="41"/>
      <c r="F163" s="41"/>
      <c r="G163" s="41"/>
      <c r="H163" s="10">
        <v>3.8</v>
      </c>
      <c r="I163" s="54">
        <f>VLOOKUP(A163,İstasyonlar!$A$2:$D$776,4,0)</f>
        <v>1000000</v>
      </c>
      <c r="J163" s="54">
        <f t="shared" si="5"/>
        <v>48</v>
      </c>
      <c r="K163" t="str">
        <f t="shared" si="4"/>
        <v/>
      </c>
    </row>
    <row r="164" spans="1:11" x14ac:dyDescent="0.3">
      <c r="A164" s="11" t="s">
        <v>31</v>
      </c>
      <c r="B164" s="48" t="s">
        <v>222</v>
      </c>
      <c r="C164" s="41" t="s">
        <v>660</v>
      </c>
      <c r="D164" s="41" t="s">
        <v>659</v>
      </c>
      <c r="E164" s="41"/>
      <c r="F164" s="41"/>
      <c r="G164" s="41"/>
      <c r="H164" s="10">
        <v>8.5</v>
      </c>
      <c r="I164" s="54">
        <f>VLOOKUP(A164,İstasyonlar!$A$2:$D$776,4,0)</f>
        <v>1000000</v>
      </c>
      <c r="J164" s="54">
        <f t="shared" si="5"/>
        <v>49</v>
      </c>
      <c r="K164" t="str">
        <f t="shared" si="4"/>
        <v/>
      </c>
    </row>
    <row r="165" spans="1:11" x14ac:dyDescent="0.3">
      <c r="A165" s="11" t="s">
        <v>31</v>
      </c>
      <c r="B165" s="48" t="s">
        <v>223</v>
      </c>
      <c r="C165" s="41" t="s">
        <v>660</v>
      </c>
      <c r="D165" s="41" t="s">
        <v>659</v>
      </c>
      <c r="E165" s="41"/>
      <c r="F165" s="41"/>
      <c r="G165" s="41"/>
      <c r="H165" s="10">
        <v>2.5</v>
      </c>
      <c r="I165" s="54">
        <f>VLOOKUP(A165,İstasyonlar!$A$2:$D$776,4,0)</f>
        <v>1000000</v>
      </c>
      <c r="J165" s="54">
        <f t="shared" si="5"/>
        <v>49</v>
      </c>
      <c r="K165" t="str">
        <f t="shared" si="4"/>
        <v/>
      </c>
    </row>
    <row r="166" spans="1:11" x14ac:dyDescent="0.3">
      <c r="A166" s="11" t="s">
        <v>31</v>
      </c>
      <c r="B166" s="48" t="s">
        <v>224</v>
      </c>
      <c r="C166" s="41" t="s">
        <v>660</v>
      </c>
      <c r="D166" s="41" t="s">
        <v>659</v>
      </c>
      <c r="E166" s="41"/>
      <c r="F166" s="41"/>
      <c r="G166" s="41"/>
      <c r="H166" s="10">
        <v>2.8</v>
      </c>
      <c r="I166" s="54">
        <f>VLOOKUP(A166,İstasyonlar!$A$2:$D$776,4,0)</f>
        <v>1000000</v>
      </c>
      <c r="J166" s="54">
        <f t="shared" si="5"/>
        <v>49</v>
      </c>
      <c r="K166" t="str">
        <f t="shared" si="4"/>
        <v/>
      </c>
    </row>
    <row r="167" spans="1:11" x14ac:dyDescent="0.3">
      <c r="A167" s="11" t="s">
        <v>44</v>
      </c>
      <c r="B167" s="48" t="s">
        <v>225</v>
      </c>
      <c r="C167" s="41" t="s">
        <v>662</v>
      </c>
      <c r="D167" s="41"/>
      <c r="E167" s="41"/>
      <c r="F167" s="41"/>
      <c r="G167" s="41"/>
      <c r="H167" s="10">
        <v>3.8</v>
      </c>
      <c r="I167" s="54">
        <f>VLOOKUP(A167,İstasyonlar!$A$2:$D$776,4,0)</f>
        <v>999999999</v>
      </c>
      <c r="J167" s="54">
        <f t="shared" si="5"/>
        <v>50</v>
      </c>
      <c r="K167" t="str">
        <f t="shared" si="4"/>
        <v>Sabit</v>
      </c>
    </row>
    <row r="168" spans="1:11" x14ac:dyDescent="0.3">
      <c r="A168" s="11" t="s">
        <v>44</v>
      </c>
      <c r="B168" s="48" t="s">
        <v>226</v>
      </c>
      <c r="C168" s="41" t="s">
        <v>662</v>
      </c>
      <c r="D168" s="41"/>
      <c r="E168" s="41"/>
      <c r="F168" s="41"/>
      <c r="G168" s="41"/>
      <c r="H168" s="10">
        <v>3.5</v>
      </c>
      <c r="I168" s="54">
        <f>VLOOKUP(A168,İstasyonlar!$A$2:$D$776,4,0)</f>
        <v>999999999</v>
      </c>
      <c r="J168" s="54">
        <f t="shared" si="5"/>
        <v>50</v>
      </c>
      <c r="K168" t="str">
        <f t="shared" si="4"/>
        <v>Sabit</v>
      </c>
    </row>
    <row r="169" spans="1:11" x14ac:dyDescent="0.3">
      <c r="A169" s="11" t="s">
        <v>44</v>
      </c>
      <c r="B169" s="48" t="s">
        <v>227</v>
      </c>
      <c r="C169" s="41" t="s">
        <v>662</v>
      </c>
      <c r="D169" s="41"/>
      <c r="E169" s="41"/>
      <c r="F169" s="41"/>
      <c r="G169" s="41"/>
      <c r="H169" s="10">
        <v>3.8</v>
      </c>
      <c r="I169" s="54">
        <f>VLOOKUP(A169,İstasyonlar!$A$2:$D$776,4,0)</f>
        <v>999999999</v>
      </c>
      <c r="J169" s="54">
        <f t="shared" si="5"/>
        <v>50</v>
      </c>
      <c r="K169" t="str">
        <f t="shared" si="4"/>
        <v>Sabit</v>
      </c>
    </row>
    <row r="170" spans="1:11" x14ac:dyDescent="0.3">
      <c r="A170" s="11" t="s">
        <v>285</v>
      </c>
      <c r="B170" s="48" t="s">
        <v>297</v>
      </c>
      <c r="C170" s="41" t="s">
        <v>663</v>
      </c>
      <c r="D170" s="41"/>
      <c r="E170" s="41" t="s">
        <v>629</v>
      </c>
      <c r="F170" s="41"/>
      <c r="G170" s="41"/>
      <c r="H170" s="10">
        <v>0.5</v>
      </c>
      <c r="I170" s="54">
        <f>VLOOKUP(A170,İstasyonlar!$A$2:$D$776,4,0)</f>
        <v>1000000</v>
      </c>
      <c r="J170" s="54">
        <f t="shared" si="5"/>
        <v>51</v>
      </c>
      <c r="K170" t="str">
        <f t="shared" si="4"/>
        <v/>
      </c>
    </row>
    <row r="171" spans="1:11" x14ac:dyDescent="0.3">
      <c r="A171" s="11" t="s">
        <v>285</v>
      </c>
      <c r="B171" s="48" t="s">
        <v>299</v>
      </c>
      <c r="C171" s="41" t="s">
        <v>663</v>
      </c>
      <c r="D171" s="41"/>
      <c r="E171" s="41" t="s">
        <v>629</v>
      </c>
      <c r="F171" s="41"/>
      <c r="G171" s="41"/>
      <c r="H171" s="10">
        <v>2.1</v>
      </c>
      <c r="I171" s="54">
        <f>VLOOKUP(A171,İstasyonlar!$A$2:$D$776,4,0)</f>
        <v>1000000</v>
      </c>
      <c r="J171" s="54">
        <f t="shared" si="5"/>
        <v>51</v>
      </c>
      <c r="K171" t="str">
        <f t="shared" si="4"/>
        <v/>
      </c>
    </row>
    <row r="172" spans="1:11" x14ac:dyDescent="0.3">
      <c r="A172" s="11" t="s">
        <v>285</v>
      </c>
      <c r="B172" s="48" t="s">
        <v>300</v>
      </c>
      <c r="C172" s="41" t="s">
        <v>663</v>
      </c>
      <c r="D172" s="41"/>
      <c r="E172" s="41" t="s">
        <v>629</v>
      </c>
      <c r="F172" s="41"/>
      <c r="G172" s="41"/>
      <c r="H172" s="10">
        <v>7</v>
      </c>
      <c r="I172" s="54">
        <f>VLOOKUP(A172,İstasyonlar!$A$2:$D$776,4,0)</f>
        <v>1000000</v>
      </c>
      <c r="J172" s="54">
        <f t="shared" si="5"/>
        <v>51</v>
      </c>
      <c r="K172" t="str">
        <f t="shared" si="4"/>
        <v/>
      </c>
    </row>
    <row r="173" spans="1:11" x14ac:dyDescent="0.3">
      <c r="A173" s="11" t="s">
        <v>285</v>
      </c>
      <c r="B173" s="48" t="s">
        <v>301</v>
      </c>
      <c r="C173" s="41" t="s">
        <v>663</v>
      </c>
      <c r="D173" s="41"/>
      <c r="E173" s="41" t="s">
        <v>629</v>
      </c>
      <c r="F173" s="41"/>
      <c r="G173" s="41"/>
      <c r="H173" s="10">
        <v>4</v>
      </c>
      <c r="I173" s="54">
        <f>VLOOKUP(A173,İstasyonlar!$A$2:$D$776,4,0)</f>
        <v>1000000</v>
      </c>
      <c r="J173" s="54">
        <f t="shared" si="5"/>
        <v>51</v>
      </c>
      <c r="K173" t="str">
        <f t="shared" si="4"/>
        <v/>
      </c>
    </row>
    <row r="174" spans="1:11" x14ac:dyDescent="0.3">
      <c r="A174" s="11" t="s">
        <v>46</v>
      </c>
      <c r="B174" s="48" t="s">
        <v>232</v>
      </c>
      <c r="C174" s="41" t="s">
        <v>665</v>
      </c>
      <c r="D174" s="41"/>
      <c r="E174" s="41"/>
      <c r="F174" s="41"/>
      <c r="G174" s="41"/>
      <c r="H174" s="10">
        <v>0.5</v>
      </c>
      <c r="I174" s="54">
        <f>VLOOKUP(A174,İstasyonlar!$A$2:$D$776,4,0)</f>
        <v>1000000</v>
      </c>
      <c r="J174" s="54">
        <f t="shared" si="5"/>
        <v>52</v>
      </c>
      <c r="K174" t="str">
        <f t="shared" si="4"/>
        <v/>
      </c>
    </row>
    <row r="175" spans="1:11" x14ac:dyDescent="0.3">
      <c r="A175" s="11" t="s">
        <v>46</v>
      </c>
      <c r="B175" s="48" t="s">
        <v>233</v>
      </c>
      <c r="C175" s="41" t="s">
        <v>665</v>
      </c>
      <c r="D175" s="41"/>
      <c r="E175" s="41"/>
      <c r="F175" s="41"/>
      <c r="G175" s="41"/>
      <c r="H175" s="10">
        <v>3.1</v>
      </c>
      <c r="I175" s="54">
        <f>VLOOKUP(A175,İstasyonlar!$A$2:$D$776,4,0)</f>
        <v>1000000</v>
      </c>
      <c r="J175" s="54">
        <f t="shared" si="5"/>
        <v>52</v>
      </c>
      <c r="K175" t="str">
        <f t="shared" si="4"/>
        <v/>
      </c>
    </row>
    <row r="176" spans="1:11" x14ac:dyDescent="0.3">
      <c r="A176" s="11" t="s">
        <v>46</v>
      </c>
      <c r="B176" s="48" t="s">
        <v>234</v>
      </c>
      <c r="C176" s="41" t="s">
        <v>665</v>
      </c>
      <c r="D176" s="41"/>
      <c r="E176" s="41"/>
      <c r="F176" s="41"/>
      <c r="G176" s="41"/>
      <c r="H176" s="10">
        <v>4.2</v>
      </c>
      <c r="I176" s="54">
        <f>VLOOKUP(A176,İstasyonlar!$A$2:$D$776,4,0)</f>
        <v>1000000</v>
      </c>
      <c r="J176" s="54">
        <f t="shared" si="5"/>
        <v>52</v>
      </c>
      <c r="K176" t="str">
        <f t="shared" si="4"/>
        <v/>
      </c>
    </row>
    <row r="177" spans="1:11" x14ac:dyDescent="0.3">
      <c r="A177" s="11" t="s">
        <v>46</v>
      </c>
      <c r="B177" s="48" t="s">
        <v>235</v>
      </c>
      <c r="C177" s="41" t="s">
        <v>665</v>
      </c>
      <c r="D177" s="41"/>
      <c r="E177" s="41"/>
      <c r="F177" s="41"/>
      <c r="G177" s="41"/>
      <c r="H177" s="10">
        <v>2.1</v>
      </c>
      <c r="I177" s="54">
        <f>VLOOKUP(A177,İstasyonlar!$A$2:$D$776,4,0)</f>
        <v>1000000</v>
      </c>
      <c r="J177" s="54">
        <f t="shared" si="5"/>
        <v>52</v>
      </c>
      <c r="K177" t="str">
        <f t="shared" si="4"/>
        <v/>
      </c>
    </row>
    <row r="178" spans="1:11" x14ac:dyDescent="0.3">
      <c r="A178" s="11" t="s">
        <v>46</v>
      </c>
      <c r="B178" s="48" t="s">
        <v>236</v>
      </c>
      <c r="C178" s="41" t="s">
        <v>665</v>
      </c>
      <c r="D178" s="41"/>
      <c r="E178" s="41"/>
      <c r="F178" s="41"/>
      <c r="G178" s="41"/>
      <c r="H178" s="10">
        <v>0.5</v>
      </c>
      <c r="I178" s="54">
        <f>VLOOKUP(A178,İstasyonlar!$A$2:$D$776,4,0)</f>
        <v>1000000</v>
      </c>
      <c r="J178" s="54">
        <f t="shared" si="5"/>
        <v>52</v>
      </c>
      <c r="K178" t="str">
        <f t="shared" si="4"/>
        <v/>
      </c>
    </row>
    <row r="179" spans="1:11" x14ac:dyDescent="0.3">
      <c r="A179" s="11" t="s">
        <v>46</v>
      </c>
      <c r="B179" s="48" t="s">
        <v>237</v>
      </c>
      <c r="C179" s="41" t="s">
        <v>665</v>
      </c>
      <c r="D179" s="41"/>
      <c r="E179" s="41"/>
      <c r="F179" s="41"/>
      <c r="G179" s="41"/>
      <c r="H179" s="10">
        <v>0.5</v>
      </c>
      <c r="I179" s="54">
        <f>VLOOKUP(A179,İstasyonlar!$A$2:$D$776,4,0)</f>
        <v>1000000</v>
      </c>
      <c r="J179" s="54">
        <f t="shared" si="5"/>
        <v>52</v>
      </c>
      <c r="K179" t="str">
        <f t="shared" si="4"/>
        <v/>
      </c>
    </row>
    <row r="180" spans="1:11" x14ac:dyDescent="0.3">
      <c r="A180" s="11" t="s">
        <v>47</v>
      </c>
      <c r="B180" s="48" t="s">
        <v>238</v>
      </c>
      <c r="C180" s="41" t="s">
        <v>666</v>
      </c>
      <c r="D180" s="41" t="s">
        <v>634</v>
      </c>
      <c r="E180" s="41"/>
      <c r="F180" s="41"/>
      <c r="G180" s="41"/>
      <c r="H180" s="10">
        <v>1.5</v>
      </c>
      <c r="I180" s="54">
        <f>VLOOKUP(A180,İstasyonlar!$A$2:$D$776,4,0)</f>
        <v>999999999</v>
      </c>
      <c r="J180" s="54">
        <f t="shared" si="5"/>
        <v>53</v>
      </c>
      <c r="K180" t="str">
        <f t="shared" si="4"/>
        <v>Sabit</v>
      </c>
    </row>
    <row r="181" spans="1:11" x14ac:dyDescent="0.3">
      <c r="A181" s="11" t="s">
        <v>47</v>
      </c>
      <c r="B181" s="48" t="s">
        <v>239</v>
      </c>
      <c r="C181" s="41" t="s">
        <v>666</v>
      </c>
      <c r="D181" s="41" t="s">
        <v>634</v>
      </c>
      <c r="E181" s="41"/>
      <c r="F181" s="41"/>
      <c r="G181" s="41"/>
      <c r="H181" s="10">
        <v>4.3</v>
      </c>
      <c r="I181" s="54">
        <f>VLOOKUP(A181,İstasyonlar!$A$2:$D$776,4,0)</f>
        <v>999999999</v>
      </c>
      <c r="J181" s="54">
        <f t="shared" si="5"/>
        <v>53</v>
      </c>
      <c r="K181" t="str">
        <f t="shared" si="4"/>
        <v>Sabit</v>
      </c>
    </row>
    <row r="182" spans="1:11" x14ac:dyDescent="0.3">
      <c r="A182" s="11" t="s">
        <v>47</v>
      </c>
      <c r="B182" s="48" t="s">
        <v>240</v>
      </c>
      <c r="C182" s="41" t="s">
        <v>666</v>
      </c>
      <c r="D182" s="41" t="s">
        <v>634</v>
      </c>
      <c r="E182" s="41"/>
      <c r="F182" s="41"/>
      <c r="G182" s="41"/>
      <c r="H182" s="10">
        <v>4.5</v>
      </c>
      <c r="I182" s="54">
        <f>VLOOKUP(A182,İstasyonlar!$A$2:$D$776,4,0)</f>
        <v>999999999</v>
      </c>
      <c r="J182" s="54">
        <f t="shared" si="5"/>
        <v>53</v>
      </c>
      <c r="K182" t="str">
        <f t="shared" si="4"/>
        <v>Sabit</v>
      </c>
    </row>
    <row r="183" spans="1:11" x14ac:dyDescent="0.3">
      <c r="A183" s="11" t="s">
        <v>47</v>
      </c>
      <c r="B183" s="48" t="s">
        <v>241</v>
      </c>
      <c r="C183" s="41" t="s">
        <v>666</v>
      </c>
      <c r="D183" s="41" t="s">
        <v>634</v>
      </c>
      <c r="E183" s="41"/>
      <c r="F183" s="41"/>
      <c r="G183" s="41"/>
      <c r="H183" s="10">
        <v>2.8</v>
      </c>
      <c r="I183" s="54">
        <f>VLOOKUP(A183,İstasyonlar!$A$2:$D$776,4,0)</f>
        <v>999999999</v>
      </c>
      <c r="J183" s="54">
        <f t="shared" si="5"/>
        <v>53</v>
      </c>
      <c r="K183" t="str">
        <f t="shared" si="4"/>
        <v>Sabit</v>
      </c>
    </row>
    <row r="184" spans="1:11" x14ac:dyDescent="0.3">
      <c r="A184" s="11" t="s">
        <v>47</v>
      </c>
      <c r="B184" s="48" t="s">
        <v>242</v>
      </c>
      <c r="C184" s="41" t="s">
        <v>666</v>
      </c>
      <c r="D184" s="41" t="s">
        <v>634</v>
      </c>
      <c r="E184" s="41"/>
      <c r="F184" s="41"/>
      <c r="G184" s="41"/>
      <c r="H184" s="10">
        <v>6.4</v>
      </c>
      <c r="I184" s="54">
        <f>VLOOKUP(A184,İstasyonlar!$A$2:$D$776,4,0)</f>
        <v>999999999</v>
      </c>
      <c r="J184" s="54">
        <f t="shared" si="5"/>
        <v>53</v>
      </c>
      <c r="K184" t="str">
        <f t="shared" si="4"/>
        <v>Sabit</v>
      </c>
    </row>
    <row r="185" spans="1:11" x14ac:dyDescent="0.3">
      <c r="A185" s="11" t="s">
        <v>403</v>
      </c>
      <c r="B185" s="48" t="s">
        <v>490</v>
      </c>
      <c r="C185" s="41" t="s">
        <v>634</v>
      </c>
      <c r="D185" s="41" t="s">
        <v>668</v>
      </c>
      <c r="E185" s="41"/>
      <c r="F185" s="41"/>
      <c r="G185" s="41"/>
      <c r="H185" s="10">
        <v>5</v>
      </c>
      <c r="I185" s="54">
        <f>VLOOKUP(A185,İstasyonlar!$A$2:$D$776,4,0)</f>
        <v>999999999</v>
      </c>
      <c r="J185" s="54">
        <f t="shared" si="5"/>
        <v>54</v>
      </c>
      <c r="K185" t="str">
        <f t="shared" si="4"/>
        <v>Sabit</v>
      </c>
    </row>
    <row r="186" spans="1:11" x14ac:dyDescent="0.3">
      <c r="A186" s="11" t="s">
        <v>403</v>
      </c>
      <c r="B186" s="48" t="s">
        <v>491</v>
      </c>
      <c r="C186" s="41" t="s">
        <v>634</v>
      </c>
      <c r="D186" s="41" t="s">
        <v>668</v>
      </c>
      <c r="E186" s="41"/>
      <c r="F186" s="41"/>
      <c r="G186" s="41"/>
      <c r="H186" s="10">
        <v>0.8</v>
      </c>
      <c r="I186" s="54">
        <f>VLOOKUP(A186,İstasyonlar!$A$2:$D$776,4,0)</f>
        <v>999999999</v>
      </c>
      <c r="J186" s="54">
        <f t="shared" si="5"/>
        <v>54</v>
      </c>
      <c r="K186" t="str">
        <f t="shared" si="4"/>
        <v>Sabit</v>
      </c>
    </row>
    <row r="187" spans="1:11" x14ac:dyDescent="0.3">
      <c r="A187" s="11" t="s">
        <v>403</v>
      </c>
      <c r="B187" s="48" t="s">
        <v>492</v>
      </c>
      <c r="C187" s="41" t="s">
        <v>634</v>
      </c>
      <c r="D187" s="41" t="s">
        <v>668</v>
      </c>
      <c r="E187" s="41"/>
      <c r="F187" s="41"/>
      <c r="G187" s="41"/>
      <c r="H187" s="10">
        <v>1.5</v>
      </c>
      <c r="I187" s="54">
        <f>VLOOKUP(A187,İstasyonlar!$A$2:$D$776,4,0)</f>
        <v>999999999</v>
      </c>
      <c r="J187" s="54">
        <f t="shared" si="5"/>
        <v>54</v>
      </c>
      <c r="K187" t="str">
        <f t="shared" si="4"/>
        <v>Sabit</v>
      </c>
    </row>
    <row r="188" spans="1:11" x14ac:dyDescent="0.3">
      <c r="A188" s="11" t="s">
        <v>403</v>
      </c>
      <c r="B188" s="48" t="s">
        <v>493</v>
      </c>
      <c r="C188" s="41" t="s">
        <v>634</v>
      </c>
      <c r="D188" s="41" t="s">
        <v>668</v>
      </c>
      <c r="E188" s="41"/>
      <c r="F188" s="41"/>
      <c r="G188" s="41"/>
      <c r="H188" s="10">
        <v>2.1</v>
      </c>
      <c r="I188" s="54">
        <f>VLOOKUP(A188,İstasyonlar!$A$2:$D$776,4,0)</f>
        <v>999999999</v>
      </c>
      <c r="J188" s="54">
        <f t="shared" si="5"/>
        <v>54</v>
      </c>
      <c r="K188" t="str">
        <f t="shared" si="4"/>
        <v>Sabit</v>
      </c>
    </row>
    <row r="189" spans="1:11" x14ac:dyDescent="0.3">
      <c r="A189" s="11" t="s">
        <v>403</v>
      </c>
      <c r="B189" s="48" t="s">
        <v>494</v>
      </c>
      <c r="C189" s="41" t="s">
        <v>634</v>
      </c>
      <c r="D189" s="41" t="s">
        <v>668</v>
      </c>
      <c r="E189" s="41"/>
      <c r="F189" s="41"/>
      <c r="G189" s="41"/>
      <c r="H189" s="10">
        <v>1</v>
      </c>
      <c r="I189" s="54">
        <f>VLOOKUP(A189,İstasyonlar!$A$2:$D$776,4,0)</f>
        <v>999999999</v>
      </c>
      <c r="J189" s="54">
        <f t="shared" si="5"/>
        <v>54</v>
      </c>
      <c r="K189" t="str">
        <f t="shared" si="4"/>
        <v>Sabit</v>
      </c>
    </row>
    <row r="190" spans="1:11" x14ac:dyDescent="0.3">
      <c r="A190" s="11" t="s">
        <v>403</v>
      </c>
      <c r="B190" s="48" t="s">
        <v>495</v>
      </c>
      <c r="C190" s="41" t="s">
        <v>634</v>
      </c>
      <c r="D190" s="41" t="s">
        <v>668</v>
      </c>
      <c r="E190" s="41"/>
      <c r="F190" s="41"/>
      <c r="G190" s="41"/>
      <c r="H190" s="10">
        <v>2.1</v>
      </c>
      <c r="I190" s="54">
        <f>VLOOKUP(A190,İstasyonlar!$A$2:$D$776,4,0)</f>
        <v>999999999</v>
      </c>
      <c r="J190" s="54">
        <f t="shared" si="5"/>
        <v>54</v>
      </c>
      <c r="K190" t="str">
        <f t="shared" si="4"/>
        <v>Sabit</v>
      </c>
    </row>
    <row r="191" spans="1:11" x14ac:dyDescent="0.3">
      <c r="A191" s="11" t="s">
        <v>48</v>
      </c>
      <c r="B191" s="48" t="s">
        <v>304</v>
      </c>
      <c r="C191" s="41" t="s">
        <v>674</v>
      </c>
      <c r="D191" s="41" t="s">
        <v>666</v>
      </c>
      <c r="E191" s="41"/>
      <c r="F191" s="41"/>
      <c r="G191" s="41"/>
      <c r="H191" s="10">
        <v>2.6</v>
      </c>
      <c r="I191" s="54">
        <f>VLOOKUP(A191,İstasyonlar!$A$2:$D$776,4,0)</f>
        <v>1000000</v>
      </c>
      <c r="J191" s="54">
        <f t="shared" si="5"/>
        <v>55</v>
      </c>
      <c r="K191" t="str">
        <f t="shared" si="4"/>
        <v/>
      </c>
    </row>
    <row r="192" spans="1:11" x14ac:dyDescent="0.3">
      <c r="A192" s="11" t="s">
        <v>48</v>
      </c>
      <c r="B192" s="48" t="s">
        <v>305</v>
      </c>
      <c r="C192" s="41" t="s">
        <v>674</v>
      </c>
      <c r="D192" s="41" t="s">
        <v>666</v>
      </c>
      <c r="E192" s="41"/>
      <c r="F192" s="41"/>
      <c r="G192" s="41"/>
      <c r="H192" s="10">
        <v>2.6</v>
      </c>
      <c r="I192" s="54">
        <f>VLOOKUP(A192,İstasyonlar!$A$2:$D$776,4,0)</f>
        <v>1000000</v>
      </c>
      <c r="J192" s="54">
        <f t="shared" si="5"/>
        <v>55</v>
      </c>
      <c r="K192" t="str">
        <f t="shared" si="4"/>
        <v/>
      </c>
    </row>
    <row r="193" spans="1:11" x14ac:dyDescent="0.3">
      <c r="A193" s="11" t="s">
        <v>48</v>
      </c>
      <c r="B193" s="48" t="s">
        <v>306</v>
      </c>
      <c r="C193" s="41" t="s">
        <v>674</v>
      </c>
      <c r="D193" s="41" t="s">
        <v>666</v>
      </c>
      <c r="E193" s="41"/>
      <c r="F193" s="41"/>
      <c r="G193" s="41"/>
      <c r="H193" s="10">
        <v>3.8</v>
      </c>
      <c r="I193" s="54">
        <f>VLOOKUP(A193,İstasyonlar!$A$2:$D$776,4,0)</f>
        <v>1000000</v>
      </c>
      <c r="J193" s="54">
        <f t="shared" si="5"/>
        <v>55</v>
      </c>
      <c r="K193" t="str">
        <f t="shared" si="4"/>
        <v/>
      </c>
    </row>
    <row r="194" spans="1:11" x14ac:dyDescent="0.3">
      <c r="A194" s="11" t="s">
        <v>48</v>
      </c>
      <c r="B194" s="48" t="s">
        <v>307</v>
      </c>
      <c r="C194" s="41" t="s">
        <v>674</v>
      </c>
      <c r="D194" s="41" t="s">
        <v>666</v>
      </c>
      <c r="E194" s="41"/>
      <c r="F194" s="41"/>
      <c r="G194" s="41"/>
      <c r="H194" s="10">
        <v>4</v>
      </c>
      <c r="I194" s="54">
        <f>VLOOKUP(A194,İstasyonlar!$A$2:$D$776,4,0)</f>
        <v>1000000</v>
      </c>
      <c r="J194" s="54">
        <f t="shared" si="5"/>
        <v>55</v>
      </c>
      <c r="K194" t="str">
        <f t="shared" ref="K194:K259" si="6">IF(I194=1000000,"","Sabit")</f>
        <v/>
      </c>
    </row>
    <row r="195" spans="1:11" x14ac:dyDescent="0.3">
      <c r="A195" s="11" t="s">
        <v>48</v>
      </c>
      <c r="B195" s="48" t="s">
        <v>308</v>
      </c>
      <c r="C195" s="41" t="s">
        <v>674</v>
      </c>
      <c r="D195" s="41" t="s">
        <v>666</v>
      </c>
      <c r="E195" s="41"/>
      <c r="F195" s="41"/>
      <c r="G195" s="41"/>
      <c r="H195" s="10">
        <v>4</v>
      </c>
      <c r="I195" s="54">
        <f>VLOOKUP(A195,İstasyonlar!$A$2:$D$776,4,0)</f>
        <v>1000000</v>
      </c>
      <c r="J195" s="54">
        <f t="shared" ref="J195:J259" si="7">IF(A195=A194, J194, J194+1)</f>
        <v>55</v>
      </c>
      <c r="K195" t="str">
        <f t="shared" si="6"/>
        <v/>
      </c>
    </row>
    <row r="196" spans="1:11" x14ac:dyDescent="0.3">
      <c r="A196" s="11" t="s">
        <v>48</v>
      </c>
      <c r="B196" s="48" t="s">
        <v>309</v>
      </c>
      <c r="C196" s="41" t="s">
        <v>674</v>
      </c>
      <c r="D196" s="41" t="s">
        <v>666</v>
      </c>
      <c r="E196" s="41"/>
      <c r="F196" s="41"/>
      <c r="G196" s="41"/>
      <c r="H196" s="10">
        <v>4</v>
      </c>
      <c r="I196" s="54">
        <f>VLOOKUP(A196,İstasyonlar!$A$2:$D$776,4,0)</f>
        <v>1000000</v>
      </c>
      <c r="J196" s="54">
        <f t="shared" si="7"/>
        <v>55</v>
      </c>
      <c r="K196" t="str">
        <f t="shared" si="6"/>
        <v/>
      </c>
    </row>
    <row r="197" spans="1:11" x14ac:dyDescent="0.3">
      <c r="A197" s="11" t="s">
        <v>49</v>
      </c>
      <c r="B197" s="48" t="s">
        <v>243</v>
      </c>
      <c r="C197" s="41" t="s">
        <v>675</v>
      </c>
      <c r="D197" s="41" t="s">
        <v>629</v>
      </c>
      <c r="E197" s="41" t="s">
        <v>662</v>
      </c>
      <c r="F197" s="41"/>
      <c r="G197" s="41"/>
      <c r="H197" s="10">
        <v>3.1</v>
      </c>
      <c r="I197" s="54">
        <f>VLOOKUP(A197,İstasyonlar!$A$2:$D$776,4,0)</f>
        <v>1000000</v>
      </c>
      <c r="J197" s="54">
        <f t="shared" si="7"/>
        <v>56</v>
      </c>
      <c r="K197" t="str">
        <f t="shared" si="6"/>
        <v/>
      </c>
    </row>
    <row r="198" spans="1:11" x14ac:dyDescent="0.3">
      <c r="A198" s="11" t="s">
        <v>49</v>
      </c>
      <c r="B198" s="48" t="s">
        <v>244</v>
      </c>
      <c r="C198" s="41" t="s">
        <v>675</v>
      </c>
      <c r="D198" s="41" t="s">
        <v>629</v>
      </c>
      <c r="E198" s="41" t="s">
        <v>662</v>
      </c>
      <c r="F198" s="41"/>
      <c r="G198" s="41"/>
      <c r="H198" s="10">
        <v>2.9</v>
      </c>
      <c r="I198" s="54">
        <f>VLOOKUP(A198,İstasyonlar!$A$2:$D$776,4,0)</f>
        <v>1000000</v>
      </c>
      <c r="J198" s="54">
        <f t="shared" si="7"/>
        <v>56</v>
      </c>
      <c r="K198" t="str">
        <f t="shared" si="6"/>
        <v/>
      </c>
    </row>
    <row r="199" spans="1:11" x14ac:dyDescent="0.3">
      <c r="A199" s="11" t="s">
        <v>49</v>
      </c>
      <c r="B199" s="48" t="s">
        <v>245</v>
      </c>
      <c r="C199" s="41" t="s">
        <v>675</v>
      </c>
      <c r="D199" s="41" t="s">
        <v>629</v>
      </c>
      <c r="E199" s="41" t="s">
        <v>662</v>
      </c>
      <c r="F199" s="41"/>
      <c r="G199" s="41"/>
      <c r="H199" s="10">
        <v>7.2</v>
      </c>
      <c r="I199" s="54">
        <f>VLOOKUP(A199,İstasyonlar!$A$2:$D$776,4,0)</f>
        <v>1000000</v>
      </c>
      <c r="J199" s="54">
        <f t="shared" si="7"/>
        <v>56</v>
      </c>
      <c r="K199" t="str">
        <f t="shared" si="6"/>
        <v/>
      </c>
    </row>
    <row r="200" spans="1:11" x14ac:dyDescent="0.3">
      <c r="A200" s="11" t="s">
        <v>49</v>
      </c>
      <c r="B200" s="48" t="s">
        <v>246</v>
      </c>
      <c r="C200" s="41" t="s">
        <v>675</v>
      </c>
      <c r="D200" s="41" t="s">
        <v>629</v>
      </c>
      <c r="E200" s="41" t="s">
        <v>662</v>
      </c>
      <c r="F200" s="41"/>
      <c r="G200" s="41"/>
      <c r="H200" s="10">
        <v>0.5</v>
      </c>
      <c r="I200" s="54">
        <f>VLOOKUP(A200,İstasyonlar!$A$2:$D$776,4,0)</f>
        <v>1000000</v>
      </c>
      <c r="J200" s="54">
        <f t="shared" si="7"/>
        <v>56</v>
      </c>
      <c r="K200" t="str">
        <f t="shared" si="6"/>
        <v/>
      </c>
    </row>
    <row r="201" spans="1:11" x14ac:dyDescent="0.3">
      <c r="A201" s="11" t="s">
        <v>50</v>
      </c>
      <c r="B201" s="48" t="s">
        <v>247</v>
      </c>
      <c r="C201" s="41" t="s">
        <v>744</v>
      </c>
      <c r="D201" s="41" t="s">
        <v>675</v>
      </c>
      <c r="E201" s="41" t="s">
        <v>664</v>
      </c>
      <c r="F201" s="41"/>
      <c r="G201" s="41"/>
      <c r="H201" s="10">
        <v>3.7</v>
      </c>
      <c r="I201" s="54">
        <f>VLOOKUP(A201,İstasyonlar!$A$2:$D$776,4,0)</f>
        <v>1000000</v>
      </c>
      <c r="J201" s="54">
        <f t="shared" si="7"/>
        <v>57</v>
      </c>
      <c r="K201" t="str">
        <f t="shared" si="6"/>
        <v/>
      </c>
    </row>
    <row r="202" spans="1:11" x14ac:dyDescent="0.3">
      <c r="A202" s="11" t="s">
        <v>50</v>
      </c>
      <c r="B202" s="48" t="s">
        <v>248</v>
      </c>
      <c r="C202" s="41" t="s">
        <v>744</v>
      </c>
      <c r="D202" s="41" t="s">
        <v>675</v>
      </c>
      <c r="E202" s="41" t="s">
        <v>664</v>
      </c>
      <c r="F202" s="41"/>
      <c r="G202" s="41"/>
      <c r="H202" s="10">
        <v>3.8</v>
      </c>
      <c r="I202" s="54">
        <f>VLOOKUP(A202,İstasyonlar!$A$2:$D$776,4,0)</f>
        <v>1000000</v>
      </c>
      <c r="J202" s="54">
        <f t="shared" si="7"/>
        <v>57</v>
      </c>
      <c r="K202" t="str">
        <f t="shared" si="6"/>
        <v/>
      </c>
    </row>
    <row r="203" spans="1:11" x14ac:dyDescent="0.3">
      <c r="A203" s="11" t="s">
        <v>50</v>
      </c>
      <c r="B203" s="48" t="s">
        <v>249</v>
      </c>
      <c r="C203" s="41" t="s">
        <v>744</v>
      </c>
      <c r="D203" s="41" t="s">
        <v>675</v>
      </c>
      <c r="E203" s="41" t="s">
        <v>664</v>
      </c>
      <c r="F203" s="41"/>
      <c r="G203" s="41"/>
      <c r="H203" s="10">
        <v>6.1</v>
      </c>
      <c r="I203" s="54">
        <f>VLOOKUP(A203,İstasyonlar!$A$2:$D$776,4,0)</f>
        <v>1000000</v>
      </c>
      <c r="J203" s="54">
        <f t="shared" si="7"/>
        <v>57</v>
      </c>
      <c r="K203" t="str">
        <f t="shared" si="6"/>
        <v/>
      </c>
    </row>
    <row r="204" spans="1:11" x14ac:dyDescent="0.3">
      <c r="A204" s="11" t="s">
        <v>50</v>
      </c>
      <c r="B204" s="48" t="s">
        <v>250</v>
      </c>
      <c r="C204" s="41" t="s">
        <v>744</v>
      </c>
      <c r="D204" s="41" t="s">
        <v>675</v>
      </c>
      <c r="E204" s="41" t="s">
        <v>664</v>
      </c>
      <c r="F204" s="41"/>
      <c r="G204" s="41"/>
      <c r="H204" s="10">
        <v>1</v>
      </c>
      <c r="I204" s="54">
        <f>VLOOKUP(A204,İstasyonlar!$A$2:$D$776,4,0)</f>
        <v>1000000</v>
      </c>
      <c r="J204" s="54">
        <f t="shared" si="7"/>
        <v>57</v>
      </c>
      <c r="K204" t="str">
        <f t="shared" si="6"/>
        <v/>
      </c>
    </row>
    <row r="205" spans="1:11" x14ac:dyDescent="0.3">
      <c r="A205" s="11" t="s">
        <v>51</v>
      </c>
      <c r="B205" s="48" t="s">
        <v>251</v>
      </c>
      <c r="C205" s="41" t="s">
        <v>629</v>
      </c>
      <c r="D205" s="41" t="s">
        <v>676</v>
      </c>
      <c r="E205" s="41"/>
      <c r="F205" s="41"/>
      <c r="G205" s="41"/>
      <c r="H205" s="10">
        <v>6.9</v>
      </c>
      <c r="I205" s="54">
        <f>VLOOKUP(A205,İstasyonlar!$A$2:$D$776,4,0)</f>
        <v>999999999</v>
      </c>
      <c r="J205" s="54">
        <f t="shared" si="7"/>
        <v>58</v>
      </c>
      <c r="K205" t="str">
        <f t="shared" si="6"/>
        <v>Sabit</v>
      </c>
    </row>
    <row r="206" spans="1:11" x14ac:dyDescent="0.3">
      <c r="A206" s="11" t="s">
        <v>51</v>
      </c>
      <c r="B206" s="48" t="s">
        <v>252</v>
      </c>
      <c r="C206" s="41" t="s">
        <v>629</v>
      </c>
      <c r="D206" s="41" t="s">
        <v>676</v>
      </c>
      <c r="E206" s="41"/>
      <c r="F206" s="41"/>
      <c r="G206" s="41"/>
      <c r="H206" s="10">
        <v>3.1</v>
      </c>
      <c r="I206" s="54">
        <f>VLOOKUP(A206,İstasyonlar!$A$2:$D$776,4,0)</f>
        <v>999999999</v>
      </c>
      <c r="J206" s="54">
        <f t="shared" si="7"/>
        <v>58</v>
      </c>
      <c r="K206" t="str">
        <f t="shared" si="6"/>
        <v>Sabit</v>
      </c>
    </row>
    <row r="207" spans="1:11" x14ac:dyDescent="0.3">
      <c r="A207" s="11" t="s">
        <v>51</v>
      </c>
      <c r="B207" s="48" t="s">
        <v>253</v>
      </c>
      <c r="C207" s="41" t="s">
        <v>629</v>
      </c>
      <c r="D207" s="41" t="s">
        <v>676</v>
      </c>
      <c r="E207" s="41"/>
      <c r="F207" s="41"/>
      <c r="G207" s="41"/>
      <c r="H207" s="10">
        <v>4.2</v>
      </c>
      <c r="I207" s="54">
        <f>VLOOKUP(A207,İstasyonlar!$A$2:$D$776,4,0)</f>
        <v>999999999</v>
      </c>
      <c r="J207" s="54">
        <f t="shared" si="7"/>
        <v>58</v>
      </c>
      <c r="K207" t="str">
        <f t="shared" si="6"/>
        <v>Sabit</v>
      </c>
    </row>
    <row r="208" spans="1:11" x14ac:dyDescent="0.3">
      <c r="A208" s="11" t="s">
        <v>52</v>
      </c>
      <c r="B208" s="48" t="s">
        <v>254</v>
      </c>
      <c r="C208" s="41" t="s">
        <v>676</v>
      </c>
      <c r="D208" s="41"/>
      <c r="E208" s="41"/>
      <c r="F208" s="41"/>
      <c r="G208" s="41"/>
      <c r="H208" s="10">
        <v>5.5</v>
      </c>
      <c r="I208" s="54">
        <f>VLOOKUP(A208,İstasyonlar!$A$2:$D$776,4,0)</f>
        <v>999999999</v>
      </c>
      <c r="J208" s="54">
        <f t="shared" si="7"/>
        <v>59</v>
      </c>
      <c r="K208" t="str">
        <f t="shared" si="6"/>
        <v>Sabit</v>
      </c>
    </row>
    <row r="209" spans="1:11" x14ac:dyDescent="0.3">
      <c r="A209" s="11" t="s">
        <v>52</v>
      </c>
      <c r="B209" s="48" t="s">
        <v>255</v>
      </c>
      <c r="C209" s="41" t="s">
        <v>676</v>
      </c>
      <c r="D209" s="41"/>
      <c r="E209" s="41"/>
      <c r="F209" s="41"/>
      <c r="G209" s="41"/>
      <c r="H209" s="10">
        <v>1.8</v>
      </c>
      <c r="I209" s="54">
        <f>VLOOKUP(A209,İstasyonlar!$A$2:$D$776,4,0)</f>
        <v>999999999</v>
      </c>
      <c r="J209" s="54">
        <f t="shared" si="7"/>
        <v>59</v>
      </c>
      <c r="K209" t="str">
        <f t="shared" si="6"/>
        <v>Sabit</v>
      </c>
    </row>
    <row r="210" spans="1:11" x14ac:dyDescent="0.3">
      <c r="A210" s="11" t="s">
        <v>52</v>
      </c>
      <c r="B210" s="48" t="s">
        <v>256</v>
      </c>
      <c r="C210" s="41" t="s">
        <v>676</v>
      </c>
      <c r="D210" s="41"/>
      <c r="E210" s="41"/>
      <c r="F210" s="41"/>
      <c r="G210" s="41"/>
      <c r="H210" s="10">
        <v>2.5</v>
      </c>
      <c r="I210" s="54">
        <f>VLOOKUP(A210,İstasyonlar!$A$2:$D$776,4,0)</f>
        <v>999999999</v>
      </c>
      <c r="J210" s="54">
        <f t="shared" si="7"/>
        <v>59</v>
      </c>
      <c r="K210" t="str">
        <f t="shared" si="6"/>
        <v>Sabit</v>
      </c>
    </row>
    <row r="211" spans="1:11" x14ac:dyDescent="0.3">
      <c r="A211" s="11" t="s">
        <v>53</v>
      </c>
      <c r="B211" s="48" t="s">
        <v>257</v>
      </c>
      <c r="C211" s="41" t="s">
        <v>677</v>
      </c>
      <c r="D211" s="41"/>
      <c r="E211" s="41"/>
      <c r="F211" s="41"/>
      <c r="G211" s="41"/>
      <c r="H211" s="10">
        <v>0.5</v>
      </c>
      <c r="I211" s="54">
        <f>VLOOKUP(A211,İstasyonlar!$A$2:$D$776,4,0)</f>
        <v>999999999</v>
      </c>
      <c r="J211" s="54">
        <f t="shared" si="7"/>
        <v>60</v>
      </c>
      <c r="K211" t="str">
        <f t="shared" si="6"/>
        <v>Sabit</v>
      </c>
    </row>
    <row r="212" spans="1:11" x14ac:dyDescent="0.3">
      <c r="A212" s="11" t="s">
        <v>53</v>
      </c>
      <c r="B212" s="48" t="s">
        <v>258</v>
      </c>
      <c r="C212" s="41" t="s">
        <v>677</v>
      </c>
      <c r="D212" s="41"/>
      <c r="E212" s="41"/>
      <c r="F212" s="41"/>
      <c r="G212" s="41"/>
      <c r="H212" s="10">
        <v>2.8</v>
      </c>
      <c r="I212" s="54">
        <f>VLOOKUP(A212,İstasyonlar!$A$2:$D$776,4,0)</f>
        <v>999999999</v>
      </c>
      <c r="J212" s="54">
        <f t="shared" si="7"/>
        <v>60</v>
      </c>
      <c r="K212" t="str">
        <f t="shared" si="6"/>
        <v>Sabit</v>
      </c>
    </row>
    <row r="213" spans="1:11" x14ac:dyDescent="0.3">
      <c r="A213" s="11" t="s">
        <v>53</v>
      </c>
      <c r="B213" s="48" t="s">
        <v>259</v>
      </c>
      <c r="C213" s="41" t="s">
        <v>677</v>
      </c>
      <c r="D213" s="41"/>
      <c r="E213" s="41"/>
      <c r="F213" s="41"/>
      <c r="G213" s="41"/>
      <c r="H213" s="10">
        <v>3.8</v>
      </c>
      <c r="I213" s="54">
        <f>VLOOKUP(A213,İstasyonlar!$A$2:$D$776,4,0)</f>
        <v>999999999</v>
      </c>
      <c r="J213" s="54">
        <f t="shared" si="7"/>
        <v>60</v>
      </c>
      <c r="K213" t="str">
        <f t="shared" si="6"/>
        <v>Sabit</v>
      </c>
    </row>
    <row r="214" spans="1:11" x14ac:dyDescent="0.3">
      <c r="A214" s="11" t="s">
        <v>53</v>
      </c>
      <c r="B214" s="48" t="s">
        <v>260</v>
      </c>
      <c r="C214" s="41" t="s">
        <v>677</v>
      </c>
      <c r="D214" s="41"/>
      <c r="E214" s="41"/>
      <c r="F214" s="41"/>
      <c r="G214" s="41"/>
      <c r="H214" s="10">
        <v>3.9</v>
      </c>
      <c r="I214" s="54">
        <f>VLOOKUP(A214,İstasyonlar!$A$2:$D$776,4,0)</f>
        <v>999999999</v>
      </c>
      <c r="J214" s="54">
        <f t="shared" si="7"/>
        <v>60</v>
      </c>
      <c r="K214" t="str">
        <f t="shared" si="6"/>
        <v>Sabit</v>
      </c>
    </row>
    <row r="215" spans="1:11" x14ac:dyDescent="0.3">
      <c r="A215" s="11" t="s">
        <v>53</v>
      </c>
      <c r="B215" s="48" t="s">
        <v>261</v>
      </c>
      <c r="C215" s="41" t="s">
        <v>677</v>
      </c>
      <c r="D215" s="41"/>
      <c r="E215" s="41"/>
      <c r="F215" s="41"/>
      <c r="G215" s="41"/>
      <c r="H215" s="10">
        <v>0.5</v>
      </c>
      <c r="I215" s="54">
        <f>VLOOKUP(A215,İstasyonlar!$A$2:$D$776,4,0)</f>
        <v>999999999</v>
      </c>
      <c r="J215" s="54">
        <f t="shared" si="7"/>
        <v>60</v>
      </c>
      <c r="K215" t="str">
        <f t="shared" si="6"/>
        <v>Sabit</v>
      </c>
    </row>
    <row r="216" spans="1:11" x14ac:dyDescent="0.3">
      <c r="A216" s="11" t="s">
        <v>53</v>
      </c>
      <c r="B216" s="48" t="s">
        <v>262</v>
      </c>
      <c r="C216" s="41" t="s">
        <v>677</v>
      </c>
      <c r="D216" s="41"/>
      <c r="E216" s="41"/>
      <c r="F216" s="41"/>
      <c r="G216" s="41"/>
      <c r="H216" s="10">
        <v>3.1</v>
      </c>
      <c r="I216" s="54">
        <f>VLOOKUP(A216,İstasyonlar!$A$2:$D$776,4,0)</f>
        <v>999999999</v>
      </c>
      <c r="J216" s="54">
        <f t="shared" si="7"/>
        <v>60</v>
      </c>
      <c r="K216" t="str">
        <f t="shared" si="6"/>
        <v>Sabit</v>
      </c>
    </row>
    <row r="217" spans="1:11" x14ac:dyDescent="0.3">
      <c r="A217" s="11" t="s">
        <v>53</v>
      </c>
      <c r="B217" s="48" t="s">
        <v>263</v>
      </c>
      <c r="C217" s="41" t="s">
        <v>677</v>
      </c>
      <c r="D217" s="41"/>
      <c r="E217" s="41"/>
      <c r="F217" s="41"/>
      <c r="G217" s="41"/>
      <c r="H217" s="10">
        <v>3.1</v>
      </c>
      <c r="I217" s="54">
        <f>VLOOKUP(A217,İstasyonlar!$A$2:$D$776,4,0)</f>
        <v>999999999</v>
      </c>
      <c r="J217" s="54">
        <f t="shared" si="7"/>
        <v>60</v>
      </c>
      <c r="K217" t="str">
        <f t="shared" si="6"/>
        <v>Sabit</v>
      </c>
    </row>
    <row r="218" spans="1:11" x14ac:dyDescent="0.3">
      <c r="A218" s="11" t="s">
        <v>53</v>
      </c>
      <c r="B218" s="48" t="s">
        <v>264</v>
      </c>
      <c r="C218" s="41" t="s">
        <v>677</v>
      </c>
      <c r="D218" s="41"/>
      <c r="E218" s="41"/>
      <c r="F218" s="41"/>
      <c r="G218" s="41"/>
      <c r="H218" s="10">
        <v>0.5</v>
      </c>
      <c r="I218" s="54">
        <f>VLOOKUP(A218,İstasyonlar!$A$2:$D$776,4,0)</f>
        <v>999999999</v>
      </c>
      <c r="J218" s="54">
        <f t="shared" si="7"/>
        <v>60</v>
      </c>
      <c r="K218" t="str">
        <f t="shared" si="6"/>
        <v>Sabit</v>
      </c>
    </row>
    <row r="219" spans="1:11" x14ac:dyDescent="0.3">
      <c r="A219" s="11" t="s">
        <v>54</v>
      </c>
      <c r="B219" s="48" t="s">
        <v>265</v>
      </c>
      <c r="C219" s="41" t="s">
        <v>668</v>
      </c>
      <c r="D219" s="41" t="s">
        <v>677</v>
      </c>
      <c r="E219" s="41"/>
      <c r="F219" s="41"/>
      <c r="G219" s="41"/>
      <c r="H219" s="10">
        <v>2.5</v>
      </c>
      <c r="I219" s="54">
        <f>VLOOKUP(A219,İstasyonlar!$A$2:$D$776,4,0)</f>
        <v>999999999</v>
      </c>
      <c r="J219" s="54">
        <f t="shared" si="7"/>
        <v>61</v>
      </c>
      <c r="K219" t="str">
        <f t="shared" si="6"/>
        <v>Sabit</v>
      </c>
    </row>
    <row r="220" spans="1:11" x14ac:dyDescent="0.3">
      <c r="A220" s="11" t="s">
        <v>54</v>
      </c>
      <c r="B220" s="48" t="s">
        <v>266</v>
      </c>
      <c r="C220" s="41" t="s">
        <v>668</v>
      </c>
      <c r="D220" s="41" t="s">
        <v>677</v>
      </c>
      <c r="E220" s="41"/>
      <c r="F220" s="41"/>
      <c r="G220" s="41"/>
      <c r="H220" s="10">
        <v>1.5</v>
      </c>
      <c r="I220" s="54">
        <f>VLOOKUP(A220,İstasyonlar!$A$2:$D$776,4,0)</f>
        <v>999999999</v>
      </c>
      <c r="J220" s="54">
        <f t="shared" si="7"/>
        <v>61</v>
      </c>
      <c r="K220" t="str">
        <f t="shared" si="6"/>
        <v>Sabit</v>
      </c>
    </row>
    <row r="221" spans="1:11" x14ac:dyDescent="0.3">
      <c r="A221" s="11" t="s">
        <v>54</v>
      </c>
      <c r="B221" s="48" t="s">
        <v>267</v>
      </c>
      <c r="C221" s="41" t="s">
        <v>668</v>
      </c>
      <c r="D221" s="41" t="s">
        <v>677</v>
      </c>
      <c r="E221" s="41"/>
      <c r="F221" s="41"/>
      <c r="G221" s="41"/>
      <c r="H221" s="10">
        <v>2.5</v>
      </c>
      <c r="I221" s="54">
        <f>VLOOKUP(A221,İstasyonlar!$A$2:$D$776,4,0)</f>
        <v>999999999</v>
      </c>
      <c r="J221" s="54">
        <f t="shared" si="7"/>
        <v>61</v>
      </c>
      <c r="K221" t="str">
        <f t="shared" si="6"/>
        <v>Sabit</v>
      </c>
    </row>
    <row r="222" spans="1:11" x14ac:dyDescent="0.3">
      <c r="A222" s="11" t="s">
        <v>54</v>
      </c>
      <c r="B222" s="48" t="s">
        <v>268</v>
      </c>
      <c r="C222" s="41" t="s">
        <v>668</v>
      </c>
      <c r="D222" s="41" t="s">
        <v>677</v>
      </c>
      <c r="E222" s="41"/>
      <c r="F222" s="41"/>
      <c r="G222" s="41"/>
      <c r="H222" s="10">
        <v>1</v>
      </c>
      <c r="I222" s="54">
        <f>VLOOKUP(A222,İstasyonlar!$A$2:$D$776,4,0)</f>
        <v>999999999</v>
      </c>
      <c r="J222" s="54">
        <f t="shared" si="7"/>
        <v>61</v>
      </c>
      <c r="K222" t="str">
        <f t="shared" si="6"/>
        <v>Sabit</v>
      </c>
    </row>
    <row r="223" spans="1:11" x14ac:dyDescent="0.3">
      <c r="A223" s="11" t="s">
        <v>55</v>
      </c>
      <c r="B223" s="48" t="s">
        <v>269</v>
      </c>
      <c r="C223" s="41" t="s">
        <v>678</v>
      </c>
      <c r="D223" s="41" t="s">
        <v>633</v>
      </c>
      <c r="E223" s="41"/>
      <c r="F223" s="41"/>
      <c r="G223" s="41"/>
      <c r="H223" s="10">
        <v>0.5</v>
      </c>
      <c r="I223" s="54">
        <f>VLOOKUP(A223,İstasyonlar!$A$2:$D$776,4,0)</f>
        <v>999999999</v>
      </c>
      <c r="J223" s="54">
        <f t="shared" si="7"/>
        <v>62</v>
      </c>
      <c r="K223" t="str">
        <f t="shared" si="6"/>
        <v>Sabit</v>
      </c>
    </row>
    <row r="224" spans="1:11" x14ac:dyDescent="0.3">
      <c r="A224" s="11" t="s">
        <v>55</v>
      </c>
      <c r="B224" s="48" t="s">
        <v>270</v>
      </c>
      <c r="C224" s="41" t="s">
        <v>678</v>
      </c>
      <c r="D224" s="41" t="s">
        <v>633</v>
      </c>
      <c r="E224" s="41"/>
      <c r="F224" s="41"/>
      <c r="G224" s="41"/>
      <c r="H224" s="10">
        <v>2.1</v>
      </c>
      <c r="I224" s="54">
        <f>VLOOKUP(A224,İstasyonlar!$A$2:$D$776,4,0)</f>
        <v>999999999</v>
      </c>
      <c r="J224" s="54">
        <f t="shared" si="7"/>
        <v>62</v>
      </c>
      <c r="K224" t="str">
        <f t="shared" si="6"/>
        <v>Sabit</v>
      </c>
    </row>
    <row r="225" spans="1:11" x14ac:dyDescent="0.3">
      <c r="A225" s="11" t="s">
        <v>55</v>
      </c>
      <c r="B225" s="48" t="s">
        <v>271</v>
      </c>
      <c r="C225" s="41" t="s">
        <v>678</v>
      </c>
      <c r="D225" s="41" t="s">
        <v>633</v>
      </c>
      <c r="E225" s="41"/>
      <c r="F225" s="41"/>
      <c r="G225" s="41"/>
      <c r="H225" s="10">
        <v>5.5</v>
      </c>
      <c r="I225" s="54">
        <f>VLOOKUP(A225,İstasyonlar!$A$2:$D$776,4,0)</f>
        <v>999999999</v>
      </c>
      <c r="J225" s="54">
        <f t="shared" si="7"/>
        <v>62</v>
      </c>
      <c r="K225" t="str">
        <f t="shared" si="6"/>
        <v>Sabit</v>
      </c>
    </row>
    <row r="226" spans="1:11" x14ac:dyDescent="0.3">
      <c r="A226" s="11" t="s">
        <v>55</v>
      </c>
      <c r="B226" s="48" t="s">
        <v>272</v>
      </c>
      <c r="C226" s="41" t="s">
        <v>678</v>
      </c>
      <c r="D226" s="41" t="s">
        <v>633</v>
      </c>
      <c r="E226" s="41"/>
      <c r="F226" s="41"/>
      <c r="G226" s="41"/>
      <c r="H226" s="10">
        <v>4</v>
      </c>
      <c r="I226" s="54">
        <f>VLOOKUP(A226,İstasyonlar!$A$2:$D$776,4,0)</f>
        <v>999999999</v>
      </c>
      <c r="J226" s="54">
        <f t="shared" si="7"/>
        <v>62</v>
      </c>
      <c r="K226" t="str">
        <f t="shared" si="6"/>
        <v>Sabit</v>
      </c>
    </row>
    <row r="227" spans="1:11" x14ac:dyDescent="0.3">
      <c r="A227" s="11" t="s">
        <v>55</v>
      </c>
      <c r="B227" s="48" t="s">
        <v>273</v>
      </c>
      <c r="C227" s="41" t="s">
        <v>678</v>
      </c>
      <c r="D227" s="41" t="s">
        <v>633</v>
      </c>
      <c r="E227" s="41"/>
      <c r="F227" s="41"/>
      <c r="G227" s="41"/>
      <c r="H227" s="10">
        <v>3</v>
      </c>
      <c r="I227" s="54">
        <f>VLOOKUP(A227,İstasyonlar!$A$2:$D$776,4,0)</f>
        <v>999999999</v>
      </c>
      <c r="J227" s="54">
        <f t="shared" si="7"/>
        <v>62</v>
      </c>
      <c r="K227" t="str">
        <f t="shared" si="6"/>
        <v>Sabit</v>
      </c>
    </row>
    <row r="228" spans="1:11" x14ac:dyDescent="0.3">
      <c r="A228" s="11" t="s">
        <v>55</v>
      </c>
      <c r="B228" s="48" t="s">
        <v>274</v>
      </c>
      <c r="C228" s="41" t="s">
        <v>678</v>
      </c>
      <c r="D228" s="41" t="s">
        <v>633</v>
      </c>
      <c r="E228" s="41"/>
      <c r="F228" s="41"/>
      <c r="G228" s="41"/>
      <c r="H228" s="10">
        <v>3.1</v>
      </c>
      <c r="I228" s="54">
        <f>VLOOKUP(A228,İstasyonlar!$A$2:$D$776,4,0)</f>
        <v>999999999</v>
      </c>
      <c r="J228" s="54">
        <f t="shared" si="7"/>
        <v>62</v>
      </c>
      <c r="K228" t="str">
        <f t="shared" si="6"/>
        <v>Sabit</v>
      </c>
    </row>
    <row r="229" spans="1:11" x14ac:dyDescent="0.3">
      <c r="A229" s="11" t="s">
        <v>55</v>
      </c>
      <c r="B229" s="48" t="s">
        <v>275</v>
      </c>
      <c r="C229" s="41" t="s">
        <v>678</v>
      </c>
      <c r="D229" s="41" t="s">
        <v>633</v>
      </c>
      <c r="E229" s="41"/>
      <c r="F229" s="41"/>
      <c r="G229" s="41"/>
      <c r="H229" s="10">
        <v>0.5</v>
      </c>
      <c r="I229" s="54">
        <f>VLOOKUP(A229,İstasyonlar!$A$2:$D$776,4,0)</f>
        <v>999999999</v>
      </c>
      <c r="J229" s="54">
        <f t="shared" si="7"/>
        <v>62</v>
      </c>
      <c r="K229" t="str">
        <f t="shared" si="6"/>
        <v>Sabit</v>
      </c>
    </row>
    <row r="230" spans="1:11" x14ac:dyDescent="0.3">
      <c r="A230" s="11" t="s">
        <v>55</v>
      </c>
      <c r="B230" s="48" t="s">
        <v>276</v>
      </c>
      <c r="C230" s="41" t="s">
        <v>678</v>
      </c>
      <c r="D230" s="41" t="s">
        <v>633</v>
      </c>
      <c r="E230" s="41"/>
      <c r="F230" s="41"/>
      <c r="G230" s="41"/>
      <c r="H230" s="10">
        <v>0.5</v>
      </c>
      <c r="I230" s="54">
        <f>VLOOKUP(A230,İstasyonlar!$A$2:$D$776,4,0)</f>
        <v>999999999</v>
      </c>
      <c r="J230" s="54">
        <f t="shared" si="7"/>
        <v>62</v>
      </c>
      <c r="K230" t="str">
        <f t="shared" si="6"/>
        <v>Sabit</v>
      </c>
    </row>
    <row r="231" spans="1:11" x14ac:dyDescent="0.3">
      <c r="A231" s="11" t="s">
        <v>56</v>
      </c>
      <c r="B231" s="48" t="s">
        <v>277</v>
      </c>
      <c r="C231" s="41" t="s">
        <v>679</v>
      </c>
      <c r="D231" s="41"/>
      <c r="E231" s="41"/>
      <c r="F231" s="41"/>
      <c r="G231" s="41"/>
      <c r="H231" s="10">
        <v>6.5</v>
      </c>
      <c r="I231" s="54">
        <f>VLOOKUP(A231,İstasyonlar!$A$2:$D$776,4,0)</f>
        <v>999999999</v>
      </c>
      <c r="J231" s="54">
        <f t="shared" si="7"/>
        <v>63</v>
      </c>
      <c r="K231" t="str">
        <f t="shared" si="6"/>
        <v>Sabit</v>
      </c>
    </row>
    <row r="232" spans="1:11" x14ac:dyDescent="0.3">
      <c r="A232" s="11" t="s">
        <v>56</v>
      </c>
      <c r="B232" s="48" t="s">
        <v>278</v>
      </c>
      <c r="C232" s="41" t="s">
        <v>679</v>
      </c>
      <c r="D232" s="41"/>
      <c r="E232" s="41"/>
      <c r="F232" s="41"/>
      <c r="G232" s="41"/>
      <c r="H232" s="10">
        <v>6.1</v>
      </c>
      <c r="I232" s="54">
        <f>VLOOKUP(A232,İstasyonlar!$A$2:$D$776,4,0)</f>
        <v>999999999</v>
      </c>
      <c r="J232" s="54">
        <f t="shared" si="7"/>
        <v>63</v>
      </c>
      <c r="K232" t="str">
        <f t="shared" si="6"/>
        <v>Sabit</v>
      </c>
    </row>
    <row r="233" spans="1:11" x14ac:dyDescent="0.3">
      <c r="A233" s="11" t="s">
        <v>56</v>
      </c>
      <c r="B233" s="48" t="s">
        <v>279</v>
      </c>
      <c r="C233" s="41" t="s">
        <v>679</v>
      </c>
      <c r="D233" s="41"/>
      <c r="E233" s="41"/>
      <c r="F233" s="41"/>
      <c r="G233" s="41"/>
      <c r="H233" s="10">
        <v>2.5</v>
      </c>
      <c r="I233" s="54">
        <f>VLOOKUP(A233,İstasyonlar!$A$2:$D$776,4,0)</f>
        <v>999999999</v>
      </c>
      <c r="J233" s="54">
        <f t="shared" si="7"/>
        <v>63</v>
      </c>
      <c r="K233" t="str">
        <f t="shared" si="6"/>
        <v>Sabit</v>
      </c>
    </row>
    <row r="234" spans="1:11" x14ac:dyDescent="0.3">
      <c r="A234" s="11" t="s">
        <v>383</v>
      </c>
      <c r="B234" s="48" t="s">
        <v>478</v>
      </c>
      <c r="C234" s="41" t="s">
        <v>729</v>
      </c>
      <c r="D234" s="41" t="s">
        <v>647</v>
      </c>
      <c r="E234" s="41"/>
      <c r="F234" s="41"/>
      <c r="G234" s="41"/>
      <c r="H234" s="10">
        <v>3.9</v>
      </c>
      <c r="I234" s="54">
        <f>VLOOKUP(A234,İstasyonlar!$A$2:$D$776,4,0)</f>
        <v>999999999</v>
      </c>
      <c r="J234" s="54">
        <f t="shared" si="7"/>
        <v>64</v>
      </c>
      <c r="K234" t="str">
        <f t="shared" si="6"/>
        <v>Sabit</v>
      </c>
    </row>
    <row r="235" spans="1:11" x14ac:dyDescent="0.3">
      <c r="A235" s="11" t="s">
        <v>383</v>
      </c>
      <c r="B235" s="48" t="s">
        <v>479</v>
      </c>
      <c r="C235" s="41" t="s">
        <v>729</v>
      </c>
      <c r="D235" s="41" t="s">
        <v>647</v>
      </c>
      <c r="E235" s="41"/>
      <c r="F235" s="41"/>
      <c r="G235" s="41"/>
      <c r="H235" s="10">
        <v>1.2</v>
      </c>
      <c r="I235" s="54">
        <f>VLOOKUP(A235,İstasyonlar!$A$2:$D$776,4,0)</f>
        <v>999999999</v>
      </c>
      <c r="J235" s="54">
        <f t="shared" si="7"/>
        <v>64</v>
      </c>
      <c r="K235" t="str">
        <f t="shared" si="6"/>
        <v>Sabit</v>
      </c>
    </row>
    <row r="236" spans="1:11" x14ac:dyDescent="0.3">
      <c r="A236" s="11" t="s">
        <v>383</v>
      </c>
      <c r="B236" s="48" t="s">
        <v>480</v>
      </c>
      <c r="C236" s="41" t="s">
        <v>729</v>
      </c>
      <c r="D236" s="41" t="s">
        <v>647</v>
      </c>
      <c r="E236" s="41"/>
      <c r="F236" s="41"/>
      <c r="G236" s="41"/>
      <c r="H236" s="10">
        <v>4.9000000000000004</v>
      </c>
      <c r="I236" s="54">
        <f>VLOOKUP(A236,İstasyonlar!$A$2:$D$776,4,0)</f>
        <v>999999999</v>
      </c>
      <c r="J236" s="54">
        <f t="shared" si="7"/>
        <v>64</v>
      </c>
      <c r="K236" t="str">
        <f t="shared" si="6"/>
        <v>Sabit</v>
      </c>
    </row>
    <row r="237" spans="1:11" x14ac:dyDescent="0.3">
      <c r="A237" s="11" t="s">
        <v>383</v>
      </c>
      <c r="B237" s="48" t="s">
        <v>481</v>
      </c>
      <c r="C237" s="41" t="s">
        <v>729</v>
      </c>
      <c r="D237" s="41" t="s">
        <v>647</v>
      </c>
      <c r="E237" s="41"/>
      <c r="F237" s="41"/>
      <c r="G237" s="41"/>
      <c r="H237" s="10">
        <v>2.8</v>
      </c>
      <c r="I237" s="54">
        <f>VLOOKUP(A237,İstasyonlar!$A$2:$D$776,4,0)</f>
        <v>999999999</v>
      </c>
      <c r="J237" s="54">
        <f t="shared" si="7"/>
        <v>64</v>
      </c>
      <c r="K237" t="str">
        <f t="shared" si="6"/>
        <v>Sabit</v>
      </c>
    </row>
    <row r="238" spans="1:11" x14ac:dyDescent="0.3">
      <c r="A238" s="11" t="s">
        <v>383</v>
      </c>
      <c r="B238" s="48" t="s">
        <v>483</v>
      </c>
      <c r="C238" s="41" t="s">
        <v>729</v>
      </c>
      <c r="D238" s="41" t="s">
        <v>647</v>
      </c>
      <c r="E238" s="41"/>
      <c r="F238" s="41"/>
      <c r="G238" s="41"/>
      <c r="H238" s="10">
        <v>1</v>
      </c>
      <c r="I238" s="54">
        <f>VLOOKUP(A238,İstasyonlar!$A$2:$D$776,4,0)</f>
        <v>999999999</v>
      </c>
      <c r="J238" s="54">
        <f t="shared" si="7"/>
        <v>64</v>
      </c>
      <c r="K238" t="str">
        <f t="shared" si="6"/>
        <v>Sabit</v>
      </c>
    </row>
    <row r="239" spans="1:11" ht="15.6" x14ac:dyDescent="0.3">
      <c r="A239" s="11" t="s">
        <v>432</v>
      </c>
      <c r="B239" s="47" t="s">
        <v>499</v>
      </c>
      <c r="C239" s="41" t="s">
        <v>688</v>
      </c>
      <c r="D239" s="41" t="s">
        <v>615</v>
      </c>
      <c r="E239" s="41" t="s">
        <v>689</v>
      </c>
      <c r="F239" s="41"/>
      <c r="G239" s="41"/>
      <c r="H239" s="12">
        <v>5.4</v>
      </c>
      <c r="I239" s="54">
        <f>VLOOKUP(A239,İstasyonlar!$A$2:$D$776,4,0)</f>
        <v>999999999</v>
      </c>
      <c r="J239" s="54">
        <f t="shared" si="7"/>
        <v>65</v>
      </c>
      <c r="K239" t="str">
        <f t="shared" si="6"/>
        <v>Sabit</v>
      </c>
    </row>
    <row r="240" spans="1:11" ht="15.6" x14ac:dyDescent="0.3">
      <c r="A240" s="11" t="s">
        <v>432</v>
      </c>
      <c r="B240" s="47" t="s">
        <v>500</v>
      </c>
      <c r="C240" s="41" t="s">
        <v>688</v>
      </c>
      <c r="D240" s="41" t="s">
        <v>615</v>
      </c>
      <c r="E240" s="41" t="s">
        <v>689</v>
      </c>
      <c r="F240" s="41"/>
      <c r="G240" s="41"/>
      <c r="H240" s="12">
        <v>2</v>
      </c>
      <c r="I240" s="54">
        <f>VLOOKUP(A240,İstasyonlar!$A$2:$D$776,4,0)</f>
        <v>999999999</v>
      </c>
      <c r="J240" s="54">
        <f t="shared" si="7"/>
        <v>65</v>
      </c>
      <c r="K240" t="str">
        <f t="shared" si="6"/>
        <v>Sabit</v>
      </c>
    </row>
    <row r="241" spans="1:11" ht="15.6" x14ac:dyDescent="0.3">
      <c r="A241" s="11" t="s">
        <v>432</v>
      </c>
      <c r="B241" s="47" t="s">
        <v>501</v>
      </c>
      <c r="C241" s="41" t="s">
        <v>688</v>
      </c>
      <c r="D241" s="41" t="s">
        <v>615</v>
      </c>
      <c r="E241" s="41" t="s">
        <v>689</v>
      </c>
      <c r="F241" s="41"/>
      <c r="G241" s="41"/>
      <c r="H241" s="12">
        <v>9.5</v>
      </c>
      <c r="I241" s="54">
        <f>VLOOKUP(A241,İstasyonlar!$A$2:$D$776,4,0)</f>
        <v>999999999</v>
      </c>
      <c r="J241" s="54">
        <f t="shared" si="7"/>
        <v>65</v>
      </c>
      <c r="K241" t="str">
        <f t="shared" si="6"/>
        <v>Sabit</v>
      </c>
    </row>
    <row r="242" spans="1:11" ht="15.6" x14ac:dyDescent="0.3">
      <c r="A242" s="11" t="s">
        <v>435</v>
      </c>
      <c r="B242" s="47" t="s">
        <v>512</v>
      </c>
      <c r="C242" s="41" t="s">
        <v>693</v>
      </c>
      <c r="D242" s="41" t="s">
        <v>694</v>
      </c>
      <c r="E242" s="41"/>
      <c r="F242" s="41" t="s">
        <v>615</v>
      </c>
      <c r="G242" s="41" t="s">
        <v>614</v>
      </c>
      <c r="H242" s="12">
        <v>2.5</v>
      </c>
      <c r="I242" s="54">
        <f>VLOOKUP(A242,İstasyonlar!$A$2:$D$776,4,0)</f>
        <v>999999999</v>
      </c>
      <c r="J242" s="54">
        <f t="shared" si="7"/>
        <v>66</v>
      </c>
      <c r="K242" t="str">
        <f t="shared" si="6"/>
        <v>Sabit</v>
      </c>
    </row>
    <row r="243" spans="1:11" ht="15.6" x14ac:dyDescent="0.3">
      <c r="A243" s="11" t="s">
        <v>435</v>
      </c>
      <c r="B243" s="47" t="s">
        <v>513</v>
      </c>
      <c r="C243" s="41" t="s">
        <v>693</v>
      </c>
      <c r="D243" s="41" t="s">
        <v>694</v>
      </c>
      <c r="E243" s="41"/>
      <c r="F243" s="41" t="s">
        <v>615</v>
      </c>
      <c r="G243" s="41" t="s">
        <v>614</v>
      </c>
      <c r="H243" s="12">
        <v>3.2</v>
      </c>
      <c r="I243" s="54">
        <f>VLOOKUP(A243,İstasyonlar!$A$2:$D$776,4,0)</f>
        <v>999999999</v>
      </c>
      <c r="J243" s="54">
        <f t="shared" si="7"/>
        <v>66</v>
      </c>
      <c r="K243" t="str">
        <f t="shared" si="6"/>
        <v>Sabit</v>
      </c>
    </row>
    <row r="244" spans="1:11" ht="15.6" x14ac:dyDescent="0.3">
      <c r="A244" s="11" t="s">
        <v>435</v>
      </c>
      <c r="B244" s="47" t="s">
        <v>514</v>
      </c>
      <c r="C244" s="41" t="s">
        <v>693</v>
      </c>
      <c r="D244" s="41" t="s">
        <v>694</v>
      </c>
      <c r="E244" s="41"/>
      <c r="F244" s="41" t="s">
        <v>615</v>
      </c>
      <c r="G244" s="41" t="s">
        <v>614</v>
      </c>
      <c r="H244" s="12">
        <v>3.2</v>
      </c>
      <c r="I244" s="54">
        <f>VLOOKUP(A244,İstasyonlar!$A$2:$D$776,4,0)</f>
        <v>999999999</v>
      </c>
      <c r="J244" s="54">
        <f t="shared" si="7"/>
        <v>66</v>
      </c>
      <c r="K244" t="str">
        <f t="shared" si="6"/>
        <v>Sabit</v>
      </c>
    </row>
    <row r="245" spans="1:11" ht="15.6" x14ac:dyDescent="0.3">
      <c r="A245" s="11" t="s">
        <v>435</v>
      </c>
      <c r="B245" s="47" t="s">
        <v>515</v>
      </c>
      <c r="C245" s="41" t="s">
        <v>693</v>
      </c>
      <c r="D245" s="41" t="s">
        <v>694</v>
      </c>
      <c r="E245" s="41"/>
      <c r="F245" s="41" t="s">
        <v>615</v>
      </c>
      <c r="G245" s="41" t="s">
        <v>614</v>
      </c>
      <c r="H245" s="12">
        <v>3.2</v>
      </c>
      <c r="I245" s="54">
        <f>VLOOKUP(A245,İstasyonlar!$A$2:$D$776,4,0)</f>
        <v>999999999</v>
      </c>
      <c r="J245" s="54">
        <f t="shared" si="7"/>
        <v>66</v>
      </c>
      <c r="K245" t="str">
        <f t="shared" si="6"/>
        <v>Sabit</v>
      </c>
    </row>
    <row r="246" spans="1:11" ht="15.6" x14ac:dyDescent="0.3">
      <c r="A246" s="11" t="s">
        <v>435</v>
      </c>
      <c r="B246" s="47" t="s">
        <v>516</v>
      </c>
      <c r="C246" s="41" t="s">
        <v>693</v>
      </c>
      <c r="D246" s="41" t="s">
        <v>694</v>
      </c>
      <c r="E246" s="41"/>
      <c r="F246" s="41" t="s">
        <v>615</v>
      </c>
      <c r="G246" s="41" t="s">
        <v>614</v>
      </c>
      <c r="H246" s="12">
        <v>3.2</v>
      </c>
      <c r="I246" s="54">
        <f>VLOOKUP(A246,İstasyonlar!$A$2:$D$776,4,0)</f>
        <v>999999999</v>
      </c>
      <c r="J246" s="54">
        <f t="shared" si="7"/>
        <v>66</v>
      </c>
      <c r="K246" t="str">
        <f t="shared" si="6"/>
        <v>Sabit</v>
      </c>
    </row>
    <row r="247" spans="1:11" ht="15.6" x14ac:dyDescent="0.3">
      <c r="A247" s="11" t="s">
        <v>435</v>
      </c>
      <c r="B247" s="47" t="s">
        <v>517</v>
      </c>
      <c r="C247" s="41" t="s">
        <v>693</v>
      </c>
      <c r="D247" s="41" t="s">
        <v>694</v>
      </c>
      <c r="E247" s="41"/>
      <c r="F247" s="41" t="s">
        <v>615</v>
      </c>
      <c r="G247" s="41" t="s">
        <v>614</v>
      </c>
      <c r="H247" s="12">
        <v>3.8</v>
      </c>
      <c r="I247" s="54">
        <f>VLOOKUP(A247,İstasyonlar!$A$2:$D$776,4,0)</f>
        <v>999999999</v>
      </c>
      <c r="J247" s="54">
        <f t="shared" si="7"/>
        <v>66</v>
      </c>
      <c r="K247" t="str">
        <f t="shared" si="6"/>
        <v>Sabit</v>
      </c>
    </row>
    <row r="248" spans="1:11" ht="15.6" x14ac:dyDescent="0.3">
      <c r="A248" s="9" t="s">
        <v>560</v>
      </c>
      <c r="B248" s="47" t="s">
        <v>561</v>
      </c>
      <c r="C248" s="41" t="s">
        <v>702</v>
      </c>
      <c r="D248" s="41" t="s">
        <v>703</v>
      </c>
      <c r="E248" s="41"/>
      <c r="F248" s="41"/>
      <c r="G248" s="41"/>
      <c r="H248" s="12">
        <v>5.4</v>
      </c>
      <c r="I248" s="54">
        <f>VLOOKUP(A248,İstasyonlar!$A$2:$D$776,4,0)</f>
        <v>999999999</v>
      </c>
      <c r="J248" s="54">
        <f t="shared" si="7"/>
        <v>67</v>
      </c>
      <c r="K248" t="str">
        <f t="shared" si="6"/>
        <v>Sabit</v>
      </c>
    </row>
    <row r="249" spans="1:11" ht="15.6" x14ac:dyDescent="0.3">
      <c r="A249" s="9" t="s">
        <v>560</v>
      </c>
      <c r="B249" s="47" t="s">
        <v>562</v>
      </c>
      <c r="C249" s="41" t="s">
        <v>702</v>
      </c>
      <c r="D249" s="41" t="s">
        <v>703</v>
      </c>
      <c r="E249" s="41"/>
      <c r="F249" s="41"/>
      <c r="G249" s="41"/>
      <c r="H249" s="12">
        <v>2.8</v>
      </c>
      <c r="I249" s="54">
        <f>VLOOKUP(A249,İstasyonlar!$A$2:$D$776,4,0)</f>
        <v>999999999</v>
      </c>
      <c r="J249" s="54">
        <f t="shared" si="7"/>
        <v>67</v>
      </c>
      <c r="K249" t="str">
        <f t="shared" si="6"/>
        <v>Sabit</v>
      </c>
    </row>
    <row r="250" spans="1:11" ht="15.6" x14ac:dyDescent="0.3">
      <c r="A250" s="9" t="s">
        <v>560</v>
      </c>
      <c r="B250" s="47" t="s">
        <v>563</v>
      </c>
      <c r="C250" s="41" t="s">
        <v>702</v>
      </c>
      <c r="D250" s="41" t="s">
        <v>703</v>
      </c>
      <c r="E250" s="41"/>
      <c r="F250" s="41"/>
      <c r="G250" s="41"/>
      <c r="H250" s="12">
        <v>2.8</v>
      </c>
      <c r="I250" s="54">
        <f>VLOOKUP(A250,İstasyonlar!$A$2:$D$776,4,0)</f>
        <v>999999999</v>
      </c>
      <c r="J250" s="54">
        <f t="shared" si="7"/>
        <v>67</v>
      </c>
      <c r="K250" t="str">
        <f t="shared" si="6"/>
        <v>Sabit</v>
      </c>
    </row>
    <row r="251" spans="1:11" ht="15.6" x14ac:dyDescent="0.3">
      <c r="A251" s="9" t="s">
        <v>564</v>
      </c>
      <c r="B251" s="47" t="s">
        <v>565</v>
      </c>
      <c r="C251" s="41" t="s">
        <v>703</v>
      </c>
      <c r="D251" s="41" t="s">
        <v>702</v>
      </c>
      <c r="E251" s="41" t="s">
        <v>707</v>
      </c>
      <c r="F251" s="41"/>
      <c r="G251" s="41"/>
      <c r="H251" s="12">
        <v>3.2</v>
      </c>
      <c r="I251" s="54">
        <f>VLOOKUP(A251,İstasyonlar!$A$2:$D$776,4,0)</f>
        <v>999999999</v>
      </c>
      <c r="J251" s="54">
        <f t="shared" si="7"/>
        <v>68</v>
      </c>
      <c r="K251" t="str">
        <f t="shared" si="6"/>
        <v>Sabit</v>
      </c>
    </row>
    <row r="252" spans="1:11" ht="15.6" x14ac:dyDescent="0.3">
      <c r="A252" s="9" t="s">
        <v>564</v>
      </c>
      <c r="B252" s="47" t="s">
        <v>566</v>
      </c>
      <c r="C252" s="41" t="s">
        <v>703</v>
      </c>
      <c r="D252" s="41" t="s">
        <v>702</v>
      </c>
      <c r="E252" s="41" t="s">
        <v>707</v>
      </c>
      <c r="F252" s="41"/>
      <c r="G252" s="41"/>
      <c r="H252" s="12">
        <v>3.2</v>
      </c>
      <c r="I252" s="54">
        <f>VLOOKUP(A252,İstasyonlar!$A$2:$D$776,4,0)</f>
        <v>999999999</v>
      </c>
      <c r="J252" s="54">
        <f t="shared" si="7"/>
        <v>68</v>
      </c>
      <c r="K252" t="str">
        <f t="shared" si="6"/>
        <v>Sabit</v>
      </c>
    </row>
    <row r="253" spans="1:11" ht="15.6" x14ac:dyDescent="0.3">
      <c r="A253" s="9" t="s">
        <v>564</v>
      </c>
      <c r="B253" s="47" t="s">
        <v>567</v>
      </c>
      <c r="C253" s="41" t="s">
        <v>703</v>
      </c>
      <c r="D253" s="41" t="s">
        <v>702</v>
      </c>
      <c r="E253" s="41" t="s">
        <v>707</v>
      </c>
      <c r="F253" s="41"/>
      <c r="G253" s="41"/>
      <c r="H253" s="12">
        <v>3.2</v>
      </c>
      <c r="I253" s="54">
        <f>VLOOKUP(A253,İstasyonlar!$A$2:$D$776,4,0)</f>
        <v>999999999</v>
      </c>
      <c r="J253" s="54">
        <f t="shared" si="7"/>
        <v>68</v>
      </c>
      <c r="K253" t="str">
        <f t="shared" si="6"/>
        <v>Sabit</v>
      </c>
    </row>
    <row r="254" spans="1:11" ht="15.6" x14ac:dyDescent="0.3">
      <c r="A254" s="9" t="s">
        <v>568</v>
      </c>
      <c r="B254" s="47" t="s">
        <v>569</v>
      </c>
      <c r="C254" s="41" t="s">
        <v>707</v>
      </c>
      <c r="D254" s="41"/>
      <c r="E254" s="41" t="s">
        <v>702</v>
      </c>
      <c r="F254" s="41"/>
      <c r="G254" s="41"/>
      <c r="H254" s="12">
        <v>5.8</v>
      </c>
      <c r="I254" s="54">
        <f>VLOOKUP(A254,İstasyonlar!$A$2:$D$776,4,0)</f>
        <v>999999999</v>
      </c>
      <c r="J254" s="54">
        <f t="shared" si="7"/>
        <v>69</v>
      </c>
      <c r="K254" t="str">
        <f t="shared" si="6"/>
        <v>Sabit</v>
      </c>
    </row>
    <row r="255" spans="1:11" ht="15.6" x14ac:dyDescent="0.3">
      <c r="A255" s="9" t="s">
        <v>568</v>
      </c>
      <c r="B255" s="47" t="s">
        <v>570</v>
      </c>
      <c r="C255" s="41" t="s">
        <v>707</v>
      </c>
      <c r="D255" s="41"/>
      <c r="E255" s="41" t="s">
        <v>702</v>
      </c>
      <c r="F255" s="41"/>
      <c r="G255" s="41"/>
      <c r="H255" s="12">
        <v>2.4</v>
      </c>
      <c r="I255" s="54">
        <f>VLOOKUP(A255,İstasyonlar!$A$2:$D$776,4,0)</f>
        <v>999999999</v>
      </c>
      <c r="J255" s="54">
        <f t="shared" si="7"/>
        <v>69</v>
      </c>
      <c r="K255" t="str">
        <f t="shared" si="6"/>
        <v>Sabit</v>
      </c>
    </row>
    <row r="256" spans="1:11" ht="15.6" x14ac:dyDescent="0.3">
      <c r="A256" s="9" t="s">
        <v>568</v>
      </c>
      <c r="B256" s="47" t="s">
        <v>571</v>
      </c>
      <c r="C256" s="41" t="s">
        <v>707</v>
      </c>
      <c r="D256" s="41"/>
      <c r="E256" s="41" t="s">
        <v>702</v>
      </c>
      <c r="F256" s="41"/>
      <c r="G256" s="41"/>
      <c r="H256" s="12">
        <v>2.4</v>
      </c>
      <c r="I256" s="54">
        <f>VLOOKUP(A256,İstasyonlar!$A$2:$D$776,4,0)</f>
        <v>999999999</v>
      </c>
      <c r="J256" s="54">
        <f t="shared" si="7"/>
        <v>69</v>
      </c>
      <c r="K256" t="str">
        <f t="shared" si="6"/>
        <v>Sabit</v>
      </c>
    </row>
    <row r="257" spans="1:11" ht="15.6" x14ac:dyDescent="0.3">
      <c r="A257" s="9" t="s">
        <v>568</v>
      </c>
      <c r="B257" s="47" t="s">
        <v>572</v>
      </c>
      <c r="C257" s="41" t="s">
        <v>707</v>
      </c>
      <c r="D257" s="41"/>
      <c r="E257" s="41" t="s">
        <v>702</v>
      </c>
      <c r="F257" s="41"/>
      <c r="G257" s="41"/>
      <c r="H257" s="12">
        <v>2.4</v>
      </c>
      <c r="I257" s="54">
        <f>VLOOKUP(A257,İstasyonlar!$A$2:$D$776,4,0)</f>
        <v>999999999</v>
      </c>
      <c r="J257" s="54">
        <f t="shared" si="7"/>
        <v>69</v>
      </c>
      <c r="K257" t="str">
        <f t="shared" si="6"/>
        <v>Sabit</v>
      </c>
    </row>
    <row r="258" spans="1:11" ht="15.6" x14ac:dyDescent="0.3">
      <c r="A258" s="9" t="s">
        <v>578</v>
      </c>
      <c r="B258" s="47" t="s">
        <v>579</v>
      </c>
      <c r="C258" s="41" t="s">
        <v>715</v>
      </c>
      <c r="D258" s="41" t="s">
        <v>716</v>
      </c>
      <c r="E258" s="41"/>
      <c r="F258" s="41"/>
      <c r="G258" s="41"/>
      <c r="H258" s="12">
        <v>9.5</v>
      </c>
      <c r="I258" s="54">
        <f>VLOOKUP(A258,İstasyonlar!$A$2:$D$776,4,0)</f>
        <v>999999999</v>
      </c>
      <c r="J258" s="54">
        <f t="shared" si="7"/>
        <v>70</v>
      </c>
      <c r="K258" t="str">
        <f t="shared" si="6"/>
        <v>Sabit</v>
      </c>
    </row>
    <row r="259" spans="1:11" ht="15.6" x14ac:dyDescent="0.3">
      <c r="A259" s="9" t="s">
        <v>580</v>
      </c>
      <c r="B259" s="38" t="s">
        <v>581</v>
      </c>
      <c r="C259" s="41" t="s">
        <v>716</v>
      </c>
      <c r="D259" s="41" t="s">
        <v>715</v>
      </c>
      <c r="E259" s="41" t="s">
        <v>718</v>
      </c>
      <c r="F259" s="41"/>
      <c r="G259" s="41"/>
      <c r="H259" s="12">
        <v>9.5</v>
      </c>
      <c r="I259" s="54">
        <f>VLOOKUP(A259,İstasyonlar!$A$2:$D$776,4,0)</f>
        <v>999999999</v>
      </c>
      <c r="J259" s="54">
        <f t="shared" si="7"/>
        <v>71</v>
      </c>
      <c r="K259" t="str">
        <f t="shared" si="6"/>
        <v>Sabit</v>
      </c>
    </row>
    <row r="260" spans="1:11" x14ac:dyDescent="0.3">
      <c r="A260"/>
      <c r="B260"/>
      <c r="C260"/>
      <c r="D260"/>
      <c r="E260"/>
      <c r="F260"/>
      <c r="G260"/>
    </row>
    <row r="261" spans="1:11" x14ac:dyDescent="0.3">
      <c r="A261"/>
      <c r="B261"/>
      <c r="C261"/>
      <c r="D261"/>
      <c r="E261"/>
      <c r="F261"/>
      <c r="G261"/>
    </row>
    <row r="262" spans="1:11" x14ac:dyDescent="0.3">
      <c r="A262"/>
      <c r="B262"/>
      <c r="C262"/>
      <c r="D262"/>
      <c r="E262"/>
      <c r="F262"/>
      <c r="G262"/>
    </row>
    <row r="263" spans="1:11" x14ac:dyDescent="0.3">
      <c r="A263"/>
      <c r="B263"/>
      <c r="C263"/>
      <c r="D263"/>
      <c r="E263"/>
      <c r="F263"/>
      <c r="G263"/>
    </row>
    <row r="264" spans="1:11" x14ac:dyDescent="0.3">
      <c r="A264"/>
      <c r="B264"/>
      <c r="C264"/>
      <c r="D264"/>
      <c r="E264"/>
      <c r="F264"/>
      <c r="G264"/>
    </row>
    <row r="265" spans="1:11" x14ac:dyDescent="0.3">
      <c r="A265"/>
      <c r="B265"/>
      <c r="C265"/>
      <c r="D265"/>
      <c r="E265"/>
      <c r="F265"/>
      <c r="G265"/>
    </row>
    <row r="266" spans="1:11" x14ac:dyDescent="0.3">
      <c r="A266"/>
      <c r="B266"/>
      <c r="C266"/>
      <c r="D266"/>
      <c r="E266"/>
      <c r="F266"/>
      <c r="G266"/>
    </row>
    <row r="267" spans="1:11" x14ac:dyDescent="0.3">
      <c r="A267"/>
      <c r="B267"/>
      <c r="C267"/>
      <c r="D267"/>
      <c r="E267"/>
      <c r="F267"/>
      <c r="G267"/>
    </row>
    <row r="268" spans="1:11" x14ac:dyDescent="0.3">
      <c r="A268"/>
      <c r="B268"/>
      <c r="C268"/>
      <c r="D268"/>
      <c r="E268"/>
      <c r="F268"/>
      <c r="G268"/>
    </row>
    <row r="269" spans="1:11" x14ac:dyDescent="0.3">
      <c r="A269"/>
      <c r="B269"/>
      <c r="C269"/>
      <c r="D269"/>
      <c r="E269"/>
      <c r="F269"/>
      <c r="G269"/>
    </row>
    <row r="270" spans="1:11" x14ac:dyDescent="0.3">
      <c r="A270"/>
      <c r="B270"/>
      <c r="C270"/>
      <c r="D270"/>
      <c r="E270"/>
      <c r="F270"/>
      <c r="G270"/>
    </row>
    <row r="271" spans="1:11" x14ac:dyDescent="0.3">
      <c r="A271"/>
      <c r="B271"/>
      <c r="C271"/>
      <c r="D271"/>
      <c r="E271"/>
      <c r="F271"/>
      <c r="G271"/>
    </row>
    <row r="272" spans="1:11" x14ac:dyDescent="0.3">
      <c r="A272"/>
      <c r="B272"/>
      <c r="C272"/>
      <c r="D272"/>
      <c r="E272"/>
      <c r="F272"/>
      <c r="G272"/>
    </row>
    <row r="273" customFormat="1" x14ac:dyDescent="0.3"/>
    <row r="274" customFormat="1" x14ac:dyDescent="0.3"/>
    <row r="351" spans="4:4" x14ac:dyDescent="0.3">
      <c r="D351"/>
    </row>
    <row r="352" spans="4:4" x14ac:dyDescent="0.3">
      <c r="D352"/>
    </row>
    <row r="353" spans="4:4" x14ac:dyDescent="0.3">
      <c r="D353"/>
    </row>
    <row r="354" spans="4:4" x14ac:dyDescent="0.3">
      <c r="D354"/>
    </row>
    <row r="355" spans="4:4" x14ac:dyDescent="0.3">
      <c r="D355"/>
    </row>
    <row r="356" spans="4:4" x14ac:dyDescent="0.3">
      <c r="D356"/>
    </row>
    <row r="357" spans="4:4" x14ac:dyDescent="0.3">
      <c r="D357"/>
    </row>
    <row r="358" spans="4:4" x14ac:dyDescent="0.3">
      <c r="D358"/>
    </row>
    <row r="359" spans="4:4" x14ac:dyDescent="0.3">
      <c r="D359"/>
    </row>
    <row r="360" spans="4:4" x14ac:dyDescent="0.3">
      <c r="D360"/>
    </row>
    <row r="361" spans="4:4" x14ac:dyDescent="0.3">
      <c r="D361"/>
    </row>
    <row r="362" spans="4:4" x14ac:dyDescent="0.3">
      <c r="D362"/>
    </row>
    <row r="363" spans="4:4" x14ac:dyDescent="0.3">
      <c r="D363"/>
    </row>
    <row r="364" spans="4:4" x14ac:dyDescent="0.3">
      <c r="D364"/>
    </row>
    <row r="365" spans="4:4" x14ac:dyDescent="0.3">
      <c r="D365"/>
    </row>
    <row r="366" spans="4:4" x14ac:dyDescent="0.3">
      <c r="D366"/>
    </row>
    <row r="367" spans="4:4" x14ac:dyDescent="0.3">
      <c r="D367"/>
    </row>
    <row r="368" spans="4:4" x14ac:dyDescent="0.3">
      <c r="D368"/>
    </row>
    <row r="369" spans="4:4" x14ac:dyDescent="0.3">
      <c r="D369"/>
    </row>
    <row r="370" spans="4:4" x14ac:dyDescent="0.3">
      <c r="D370"/>
    </row>
    <row r="371" spans="4:4" x14ac:dyDescent="0.3">
      <c r="D371"/>
    </row>
    <row r="372" spans="4:4" x14ac:dyDescent="0.3">
      <c r="D372"/>
    </row>
    <row r="373" spans="4:4" x14ac:dyDescent="0.3">
      <c r="D373"/>
    </row>
    <row r="374" spans="4:4" x14ac:dyDescent="0.3">
      <c r="D374"/>
    </row>
    <row r="375" spans="4:4" x14ac:dyDescent="0.3">
      <c r="D375"/>
    </row>
    <row r="376" spans="4:4" x14ac:dyDescent="0.3">
      <c r="D376"/>
    </row>
    <row r="377" spans="4:4" x14ac:dyDescent="0.3">
      <c r="D377"/>
    </row>
    <row r="378" spans="4:4" x14ac:dyDescent="0.3">
      <c r="D378"/>
    </row>
    <row r="379" spans="4:4" x14ac:dyDescent="0.3">
      <c r="D379"/>
    </row>
    <row r="380" spans="4:4" x14ac:dyDescent="0.3">
      <c r="D380"/>
    </row>
    <row r="381" spans="4:4" x14ac:dyDescent="0.3">
      <c r="D381"/>
    </row>
    <row r="382" spans="4:4" x14ac:dyDescent="0.3">
      <c r="D382"/>
    </row>
    <row r="383" spans="4:4" x14ac:dyDescent="0.3">
      <c r="D383"/>
    </row>
    <row r="384" spans="4:4" x14ac:dyDescent="0.3">
      <c r="D384"/>
    </row>
    <row r="385" spans="4:4" x14ac:dyDescent="0.3">
      <c r="D385"/>
    </row>
    <row r="386" spans="4:4" x14ac:dyDescent="0.3">
      <c r="D386"/>
    </row>
    <row r="387" spans="4:4" x14ac:dyDescent="0.3">
      <c r="D387"/>
    </row>
    <row r="388" spans="4:4" x14ac:dyDescent="0.3">
      <c r="D388"/>
    </row>
    <row r="389" spans="4:4" x14ac:dyDescent="0.3">
      <c r="D389"/>
    </row>
    <row r="390" spans="4:4" x14ac:dyDescent="0.3">
      <c r="D390"/>
    </row>
    <row r="391" spans="4:4" x14ac:dyDescent="0.3">
      <c r="D391"/>
    </row>
    <row r="392" spans="4:4" x14ac:dyDescent="0.3">
      <c r="D392"/>
    </row>
    <row r="393" spans="4:4" x14ac:dyDescent="0.3">
      <c r="D393"/>
    </row>
    <row r="394" spans="4:4" x14ac:dyDescent="0.3">
      <c r="D394"/>
    </row>
    <row r="395" spans="4:4" x14ac:dyDescent="0.3">
      <c r="D395"/>
    </row>
    <row r="396" spans="4:4" x14ac:dyDescent="0.3">
      <c r="D396"/>
    </row>
    <row r="397" spans="4:4" x14ac:dyDescent="0.3">
      <c r="D397"/>
    </row>
    <row r="398" spans="4:4" x14ac:dyDescent="0.3">
      <c r="D398"/>
    </row>
    <row r="399" spans="4:4" x14ac:dyDescent="0.3">
      <c r="D399"/>
    </row>
    <row r="400" spans="4:4" x14ac:dyDescent="0.3">
      <c r="D400"/>
    </row>
    <row r="401" spans="4:4" x14ac:dyDescent="0.3">
      <c r="D401"/>
    </row>
    <row r="402" spans="4:4" x14ac:dyDescent="0.3">
      <c r="D402"/>
    </row>
    <row r="403" spans="4:4" x14ac:dyDescent="0.3">
      <c r="D403"/>
    </row>
    <row r="404" spans="4:4" x14ac:dyDescent="0.3">
      <c r="D404"/>
    </row>
    <row r="405" spans="4:4" x14ac:dyDescent="0.3">
      <c r="D405"/>
    </row>
    <row r="406" spans="4:4" x14ac:dyDescent="0.3">
      <c r="D406"/>
    </row>
    <row r="407" spans="4:4" x14ac:dyDescent="0.3">
      <c r="D407"/>
    </row>
    <row r="408" spans="4:4" x14ac:dyDescent="0.3">
      <c r="D408"/>
    </row>
    <row r="409" spans="4:4" x14ac:dyDescent="0.3">
      <c r="D409"/>
    </row>
    <row r="410" spans="4:4" x14ac:dyDescent="0.3">
      <c r="D410"/>
    </row>
    <row r="411" spans="4:4" x14ac:dyDescent="0.3">
      <c r="D411"/>
    </row>
    <row r="412" spans="4:4" x14ac:dyDescent="0.3">
      <c r="D412"/>
    </row>
    <row r="413" spans="4:4" x14ac:dyDescent="0.3">
      <c r="D413"/>
    </row>
    <row r="414" spans="4:4" x14ac:dyDescent="0.3">
      <c r="D414"/>
    </row>
    <row r="415" spans="4:4" x14ac:dyDescent="0.3">
      <c r="D415"/>
    </row>
    <row r="416" spans="4:4" x14ac:dyDescent="0.3">
      <c r="D416"/>
    </row>
    <row r="417" spans="4:4" x14ac:dyDescent="0.3">
      <c r="D417"/>
    </row>
    <row r="418" spans="4:4" x14ac:dyDescent="0.3">
      <c r="D418"/>
    </row>
    <row r="419" spans="4:4" x14ac:dyDescent="0.3">
      <c r="D419"/>
    </row>
    <row r="420" spans="4:4" x14ac:dyDescent="0.3">
      <c r="D420"/>
    </row>
    <row r="421" spans="4:4" x14ac:dyDescent="0.3">
      <c r="D421"/>
    </row>
    <row r="422" spans="4:4" x14ac:dyDescent="0.3">
      <c r="D422"/>
    </row>
    <row r="423" spans="4:4" x14ac:dyDescent="0.3">
      <c r="D423"/>
    </row>
    <row r="424" spans="4:4" x14ac:dyDescent="0.3">
      <c r="D424"/>
    </row>
    <row r="425" spans="4:4" x14ac:dyDescent="0.3">
      <c r="D425"/>
    </row>
    <row r="426" spans="4:4" x14ac:dyDescent="0.3">
      <c r="D426"/>
    </row>
    <row r="427" spans="4:4" x14ac:dyDescent="0.3">
      <c r="D427"/>
    </row>
    <row r="428" spans="4:4" x14ac:dyDescent="0.3">
      <c r="D428"/>
    </row>
    <row r="429" spans="4:4" x14ac:dyDescent="0.3">
      <c r="D429"/>
    </row>
    <row r="430" spans="4:4" x14ac:dyDescent="0.3">
      <c r="D430"/>
    </row>
    <row r="431" spans="4:4" x14ac:dyDescent="0.3">
      <c r="D431"/>
    </row>
    <row r="432" spans="4:4" x14ac:dyDescent="0.3">
      <c r="D432"/>
    </row>
    <row r="433" spans="4:4" x14ac:dyDescent="0.3">
      <c r="D433"/>
    </row>
    <row r="434" spans="4:4" x14ac:dyDescent="0.3">
      <c r="D434"/>
    </row>
    <row r="435" spans="4:4" x14ac:dyDescent="0.3">
      <c r="D435"/>
    </row>
    <row r="436" spans="4:4" x14ac:dyDescent="0.3">
      <c r="D436"/>
    </row>
    <row r="437" spans="4:4" x14ac:dyDescent="0.3">
      <c r="D437"/>
    </row>
    <row r="438" spans="4:4" x14ac:dyDescent="0.3">
      <c r="D438"/>
    </row>
    <row r="439" spans="4:4" x14ac:dyDescent="0.3">
      <c r="D439"/>
    </row>
    <row r="440" spans="4:4" x14ac:dyDescent="0.3">
      <c r="D440"/>
    </row>
    <row r="441" spans="4:4" x14ac:dyDescent="0.3">
      <c r="D441"/>
    </row>
    <row r="442" spans="4:4" x14ac:dyDescent="0.3">
      <c r="D442"/>
    </row>
    <row r="443" spans="4:4" x14ac:dyDescent="0.3">
      <c r="D443"/>
    </row>
    <row r="444" spans="4:4" x14ac:dyDescent="0.3">
      <c r="D444"/>
    </row>
    <row r="445" spans="4:4" x14ac:dyDescent="0.3">
      <c r="D445"/>
    </row>
    <row r="446" spans="4:4" x14ac:dyDescent="0.3">
      <c r="D446"/>
    </row>
    <row r="447" spans="4:4" x14ac:dyDescent="0.3">
      <c r="D447"/>
    </row>
    <row r="448" spans="4:4" x14ac:dyDescent="0.3">
      <c r="D448"/>
    </row>
    <row r="449" spans="4:4" x14ac:dyDescent="0.3">
      <c r="D449"/>
    </row>
    <row r="450" spans="4:4" x14ac:dyDescent="0.3">
      <c r="D450"/>
    </row>
    <row r="451" spans="4:4" x14ac:dyDescent="0.3">
      <c r="D451"/>
    </row>
    <row r="452" spans="4:4" x14ac:dyDescent="0.3">
      <c r="D452"/>
    </row>
    <row r="453" spans="4:4" x14ac:dyDescent="0.3">
      <c r="D453"/>
    </row>
    <row r="454" spans="4:4" x14ac:dyDescent="0.3">
      <c r="D454"/>
    </row>
    <row r="455" spans="4:4" x14ac:dyDescent="0.3">
      <c r="D455"/>
    </row>
    <row r="456" spans="4:4" x14ac:dyDescent="0.3">
      <c r="D456"/>
    </row>
    <row r="457" spans="4:4" x14ac:dyDescent="0.3">
      <c r="D457"/>
    </row>
    <row r="458" spans="4:4" x14ac:dyDescent="0.3">
      <c r="D458"/>
    </row>
    <row r="459" spans="4:4" x14ac:dyDescent="0.3">
      <c r="D459"/>
    </row>
    <row r="460" spans="4:4" x14ac:dyDescent="0.3">
      <c r="D460"/>
    </row>
    <row r="461" spans="4:4" x14ac:dyDescent="0.3">
      <c r="D461"/>
    </row>
    <row r="462" spans="4:4" x14ac:dyDescent="0.3">
      <c r="D462"/>
    </row>
    <row r="463" spans="4:4" x14ac:dyDescent="0.3">
      <c r="D463"/>
    </row>
    <row r="464" spans="4:4" x14ac:dyDescent="0.3">
      <c r="D464"/>
    </row>
    <row r="465" spans="4:4" x14ac:dyDescent="0.3">
      <c r="D465"/>
    </row>
    <row r="466" spans="4:4" x14ac:dyDescent="0.3">
      <c r="D466"/>
    </row>
    <row r="467" spans="4:4" x14ac:dyDescent="0.3">
      <c r="D467"/>
    </row>
    <row r="468" spans="4:4" x14ac:dyDescent="0.3">
      <c r="D468"/>
    </row>
    <row r="469" spans="4:4" x14ac:dyDescent="0.3">
      <c r="D469"/>
    </row>
    <row r="470" spans="4:4" x14ac:dyDescent="0.3">
      <c r="D470"/>
    </row>
    <row r="471" spans="4:4" x14ac:dyDescent="0.3">
      <c r="D471"/>
    </row>
    <row r="472" spans="4:4" x14ac:dyDescent="0.3">
      <c r="D472"/>
    </row>
    <row r="473" spans="4:4" x14ac:dyDescent="0.3">
      <c r="D473"/>
    </row>
    <row r="474" spans="4:4" x14ac:dyDescent="0.3">
      <c r="D474"/>
    </row>
    <row r="475" spans="4:4" x14ac:dyDescent="0.3">
      <c r="D475"/>
    </row>
    <row r="476" spans="4:4" x14ac:dyDescent="0.3">
      <c r="D476"/>
    </row>
    <row r="477" spans="4:4" x14ac:dyDescent="0.3">
      <c r="D477"/>
    </row>
    <row r="478" spans="4:4" x14ac:dyDescent="0.3">
      <c r="D478"/>
    </row>
    <row r="479" spans="4:4" x14ac:dyDescent="0.3">
      <c r="D479"/>
    </row>
    <row r="480" spans="4:4" x14ac:dyDescent="0.3">
      <c r="D480"/>
    </row>
    <row r="481" spans="4:4" x14ac:dyDescent="0.3">
      <c r="D481"/>
    </row>
    <row r="482" spans="4:4" x14ac:dyDescent="0.3">
      <c r="D482"/>
    </row>
    <row r="483" spans="4:4" x14ac:dyDescent="0.3">
      <c r="D483"/>
    </row>
    <row r="484" spans="4:4" x14ac:dyDescent="0.3">
      <c r="D484"/>
    </row>
    <row r="485" spans="4:4" x14ac:dyDescent="0.3">
      <c r="D485"/>
    </row>
    <row r="486" spans="4:4" x14ac:dyDescent="0.3">
      <c r="D486"/>
    </row>
    <row r="487" spans="4:4" x14ac:dyDescent="0.3">
      <c r="D487"/>
    </row>
    <row r="488" spans="4:4" x14ac:dyDescent="0.3">
      <c r="D488"/>
    </row>
    <row r="489" spans="4:4" x14ac:dyDescent="0.3">
      <c r="D489"/>
    </row>
    <row r="490" spans="4:4" x14ac:dyDescent="0.3">
      <c r="D490"/>
    </row>
    <row r="491" spans="4:4" x14ac:dyDescent="0.3">
      <c r="D491"/>
    </row>
    <row r="492" spans="4:4" x14ac:dyDescent="0.3">
      <c r="D492"/>
    </row>
    <row r="493" spans="4:4" x14ac:dyDescent="0.3">
      <c r="D493"/>
    </row>
    <row r="494" spans="4:4" x14ac:dyDescent="0.3">
      <c r="D494"/>
    </row>
    <row r="495" spans="4:4" x14ac:dyDescent="0.3">
      <c r="D495"/>
    </row>
    <row r="496" spans="4:4" x14ac:dyDescent="0.3">
      <c r="D496"/>
    </row>
    <row r="497" spans="4:4" x14ac:dyDescent="0.3">
      <c r="D497"/>
    </row>
    <row r="498" spans="4:4" x14ac:dyDescent="0.3">
      <c r="D498"/>
    </row>
    <row r="499" spans="4:4" x14ac:dyDescent="0.3">
      <c r="D499"/>
    </row>
    <row r="500" spans="4:4" x14ac:dyDescent="0.3">
      <c r="D500"/>
    </row>
    <row r="501" spans="4:4" x14ac:dyDescent="0.3">
      <c r="D501"/>
    </row>
    <row r="502" spans="4:4" x14ac:dyDescent="0.3">
      <c r="D502"/>
    </row>
    <row r="503" spans="4:4" x14ac:dyDescent="0.3">
      <c r="D503"/>
    </row>
    <row r="504" spans="4:4" x14ac:dyDescent="0.3">
      <c r="D504"/>
    </row>
    <row r="505" spans="4:4" x14ac:dyDescent="0.3">
      <c r="D505"/>
    </row>
    <row r="506" spans="4:4" x14ac:dyDescent="0.3">
      <c r="D506"/>
    </row>
    <row r="507" spans="4:4" x14ac:dyDescent="0.3">
      <c r="D507"/>
    </row>
    <row r="508" spans="4:4" x14ac:dyDescent="0.3">
      <c r="D508"/>
    </row>
    <row r="509" spans="4:4" x14ac:dyDescent="0.3">
      <c r="D509"/>
    </row>
    <row r="510" spans="4:4" x14ac:dyDescent="0.3">
      <c r="D510"/>
    </row>
    <row r="511" spans="4:4" x14ac:dyDescent="0.3">
      <c r="D511"/>
    </row>
    <row r="512" spans="4:4" x14ac:dyDescent="0.3">
      <c r="D512"/>
    </row>
    <row r="513" spans="4:4" x14ac:dyDescent="0.3">
      <c r="D513"/>
    </row>
    <row r="514" spans="4:4" x14ac:dyDescent="0.3">
      <c r="D514"/>
    </row>
    <row r="515" spans="4:4" x14ac:dyDescent="0.3">
      <c r="D515"/>
    </row>
    <row r="516" spans="4:4" x14ac:dyDescent="0.3">
      <c r="D516"/>
    </row>
    <row r="517" spans="4:4" x14ac:dyDescent="0.3">
      <c r="D517"/>
    </row>
    <row r="518" spans="4:4" x14ac:dyDescent="0.3">
      <c r="D518"/>
    </row>
    <row r="519" spans="4:4" x14ac:dyDescent="0.3">
      <c r="D519"/>
    </row>
    <row r="520" spans="4:4" x14ac:dyDescent="0.3">
      <c r="D520"/>
    </row>
    <row r="521" spans="4:4" x14ac:dyDescent="0.3">
      <c r="D521"/>
    </row>
    <row r="522" spans="4:4" x14ac:dyDescent="0.3">
      <c r="D522"/>
    </row>
    <row r="523" spans="4:4" x14ac:dyDescent="0.3">
      <c r="D523"/>
    </row>
    <row r="524" spans="4:4" x14ac:dyDescent="0.3">
      <c r="D524"/>
    </row>
    <row r="525" spans="4:4" x14ac:dyDescent="0.3">
      <c r="D525"/>
    </row>
    <row r="526" spans="4:4" x14ac:dyDescent="0.3">
      <c r="D526"/>
    </row>
    <row r="527" spans="4:4" x14ac:dyDescent="0.3">
      <c r="D527"/>
    </row>
    <row r="528" spans="4:4" x14ac:dyDescent="0.3">
      <c r="D528"/>
    </row>
    <row r="529" spans="4:4" x14ac:dyDescent="0.3">
      <c r="D529"/>
    </row>
    <row r="530" spans="4:4" x14ac:dyDescent="0.3">
      <c r="D530"/>
    </row>
    <row r="531" spans="4:4" x14ac:dyDescent="0.3">
      <c r="D531"/>
    </row>
    <row r="532" spans="4:4" x14ac:dyDescent="0.3">
      <c r="D532"/>
    </row>
    <row r="533" spans="4:4" x14ac:dyDescent="0.3">
      <c r="D533"/>
    </row>
    <row r="534" spans="4:4" x14ac:dyDescent="0.3">
      <c r="D534"/>
    </row>
    <row r="535" spans="4:4" x14ac:dyDescent="0.3">
      <c r="D535"/>
    </row>
    <row r="536" spans="4:4" x14ac:dyDescent="0.3">
      <c r="D536"/>
    </row>
    <row r="537" spans="4:4" x14ac:dyDescent="0.3">
      <c r="D537"/>
    </row>
    <row r="538" spans="4:4" x14ac:dyDescent="0.3">
      <c r="D538"/>
    </row>
    <row r="539" spans="4:4" x14ac:dyDescent="0.3">
      <c r="D539"/>
    </row>
    <row r="540" spans="4:4" x14ac:dyDescent="0.3">
      <c r="D540"/>
    </row>
    <row r="541" spans="4:4" x14ac:dyDescent="0.3">
      <c r="D541"/>
    </row>
    <row r="542" spans="4:4" x14ac:dyDescent="0.3">
      <c r="D542"/>
    </row>
    <row r="543" spans="4:4" x14ac:dyDescent="0.3">
      <c r="D543"/>
    </row>
    <row r="544" spans="4:4" x14ac:dyDescent="0.3">
      <c r="D544"/>
    </row>
    <row r="545" spans="4:4" x14ac:dyDescent="0.3">
      <c r="D545"/>
    </row>
    <row r="546" spans="4:4" x14ac:dyDescent="0.3">
      <c r="D546"/>
    </row>
    <row r="547" spans="4:4" x14ac:dyDescent="0.3">
      <c r="D547"/>
    </row>
    <row r="548" spans="4:4" x14ac:dyDescent="0.3">
      <c r="D548"/>
    </row>
    <row r="549" spans="4:4" x14ac:dyDescent="0.3">
      <c r="D549"/>
    </row>
    <row r="550" spans="4:4" x14ac:dyDescent="0.3">
      <c r="D550"/>
    </row>
  </sheetData>
  <autoFilter ref="A1:J274" xr:uid="{75B1E969-339D-4253-892A-F6FC55B995AB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B338F-DEB8-4B6D-8346-D88DE41638DA}">
  <dimension ref="A1:K278"/>
  <sheetViews>
    <sheetView topLeftCell="A117" zoomScale="85" zoomScaleNormal="85" workbookViewId="0">
      <selection activeCell="A126" sqref="A126"/>
    </sheetView>
  </sheetViews>
  <sheetFormatPr defaultRowHeight="14.4" x14ac:dyDescent="0.3"/>
  <cols>
    <col min="1" max="2" width="27.21875" style="1" customWidth="1"/>
    <col min="3" max="7" width="15.21875" style="1" customWidth="1"/>
    <col min="9" max="9" width="12.44140625" customWidth="1"/>
  </cols>
  <sheetData>
    <row r="1" spans="1:11" ht="28.8" x14ac:dyDescent="0.3">
      <c r="A1" s="45" t="s">
        <v>59</v>
      </c>
      <c r="B1" s="45" t="s">
        <v>60</v>
      </c>
      <c r="C1" s="46" t="s">
        <v>312</v>
      </c>
      <c r="D1" s="46" t="s">
        <v>280</v>
      </c>
      <c r="E1" s="46" t="s">
        <v>281</v>
      </c>
      <c r="F1" s="46" t="s">
        <v>282</v>
      </c>
      <c r="G1" s="46" t="s">
        <v>283</v>
      </c>
      <c r="H1" s="45" t="s">
        <v>61</v>
      </c>
      <c r="I1" s="46" t="s">
        <v>731</v>
      </c>
      <c r="J1" s="46" t="s">
        <v>462</v>
      </c>
    </row>
    <row r="2" spans="1:11" x14ac:dyDescent="0.3">
      <c r="A2" s="9" t="s">
        <v>0</v>
      </c>
      <c r="B2" s="47" t="s">
        <v>62</v>
      </c>
      <c r="C2" s="8" t="s">
        <v>594</v>
      </c>
      <c r="D2" s="8" t="s">
        <v>595</v>
      </c>
      <c r="E2" s="8" t="s">
        <v>596</v>
      </c>
      <c r="F2" s="8"/>
      <c r="G2" s="8"/>
      <c r="H2" s="10">
        <v>6.1</v>
      </c>
      <c r="I2" s="54">
        <f>VLOOKUP(A2,İstasyonlar!$A$2:$D$776,4,0)</f>
        <v>1000000</v>
      </c>
      <c r="J2" s="54">
        <v>1</v>
      </c>
      <c r="K2" t="str">
        <f t="shared" ref="K2:K65" si="0">IF(I2=1000000,"","Sabit")</f>
        <v/>
      </c>
    </row>
    <row r="3" spans="1:11" x14ac:dyDescent="0.3">
      <c r="A3" s="9" t="s">
        <v>0</v>
      </c>
      <c r="B3" s="47" t="s">
        <v>63</v>
      </c>
      <c r="C3" s="8" t="s">
        <v>594</v>
      </c>
      <c r="D3" s="8" t="s">
        <v>595</v>
      </c>
      <c r="E3" s="8" t="s">
        <v>596</v>
      </c>
      <c r="F3" s="8"/>
      <c r="G3" s="8"/>
      <c r="H3" s="10">
        <v>6.1</v>
      </c>
      <c r="I3" s="54">
        <f>VLOOKUP(A3,İstasyonlar!$A$2:$D$776,4,0)</f>
        <v>1000000</v>
      </c>
      <c r="J3" s="54">
        <f t="shared" ref="J3:J66" si="1">IF(A3=A2, J2, J2+1)</f>
        <v>1</v>
      </c>
      <c r="K3" t="str">
        <f t="shared" si="0"/>
        <v/>
      </c>
    </row>
    <row r="4" spans="1:11" x14ac:dyDescent="0.3">
      <c r="A4" s="9" t="s">
        <v>1</v>
      </c>
      <c r="B4" s="47" t="s">
        <v>64</v>
      </c>
      <c r="C4" s="8" t="s">
        <v>596</v>
      </c>
      <c r="D4" s="8" t="s">
        <v>598</v>
      </c>
      <c r="E4" s="8" t="s">
        <v>594</v>
      </c>
      <c r="F4" s="8"/>
      <c r="G4" s="8"/>
      <c r="H4" s="10">
        <v>5.8</v>
      </c>
      <c r="I4" s="54">
        <f>VLOOKUP(A4,İstasyonlar!$A$2:$D$776,4,0)</f>
        <v>999999999</v>
      </c>
      <c r="J4" s="54">
        <f t="shared" si="1"/>
        <v>2</v>
      </c>
      <c r="K4" t="str">
        <f t="shared" si="0"/>
        <v>Sabit</v>
      </c>
    </row>
    <row r="5" spans="1:11" x14ac:dyDescent="0.3">
      <c r="A5" s="9" t="s">
        <v>1</v>
      </c>
      <c r="B5" s="47" t="s">
        <v>65</v>
      </c>
      <c r="C5" s="8" t="s">
        <v>596</v>
      </c>
      <c r="D5" s="8" t="s">
        <v>598</v>
      </c>
      <c r="E5" s="8" t="s">
        <v>594</v>
      </c>
      <c r="F5" s="8"/>
      <c r="G5" s="8"/>
      <c r="H5" s="10">
        <v>6.4</v>
      </c>
      <c r="I5" s="54">
        <f>VLOOKUP(A5,İstasyonlar!$A$2:$D$776,4,0)</f>
        <v>999999999</v>
      </c>
      <c r="J5" s="54">
        <f t="shared" si="1"/>
        <v>2</v>
      </c>
      <c r="K5" t="str">
        <f t="shared" si="0"/>
        <v>Sabit</v>
      </c>
    </row>
    <row r="6" spans="1:11" x14ac:dyDescent="0.3">
      <c r="A6" s="9" t="s">
        <v>2</v>
      </c>
      <c r="B6" s="47" t="s">
        <v>287</v>
      </c>
      <c r="C6" s="8" t="s">
        <v>598</v>
      </c>
      <c r="D6" s="8" t="s">
        <v>596</v>
      </c>
      <c r="E6" s="8"/>
      <c r="F6" s="8"/>
      <c r="G6" s="8"/>
      <c r="H6" s="10">
        <v>6.4</v>
      </c>
      <c r="I6" s="54">
        <f>VLOOKUP(A6,İstasyonlar!$A$2:$D$776,4,0)</f>
        <v>999999999</v>
      </c>
      <c r="J6" s="54">
        <f t="shared" si="1"/>
        <v>3</v>
      </c>
      <c r="K6" t="str">
        <f t="shared" si="0"/>
        <v>Sabit</v>
      </c>
    </row>
    <row r="7" spans="1:11" x14ac:dyDescent="0.3">
      <c r="A7" s="9" t="s">
        <v>2</v>
      </c>
      <c r="B7" s="47" t="s">
        <v>288</v>
      </c>
      <c r="C7" s="8" t="s">
        <v>598</v>
      </c>
      <c r="D7" s="8" t="s">
        <v>596</v>
      </c>
      <c r="E7" s="8"/>
      <c r="F7" s="8"/>
      <c r="G7" s="8"/>
      <c r="H7" s="10">
        <v>1</v>
      </c>
      <c r="I7" s="54">
        <f>VLOOKUP(A7,İstasyonlar!$A$2:$D$776,4,0)</f>
        <v>999999999</v>
      </c>
      <c r="J7" s="54">
        <f t="shared" si="1"/>
        <v>3</v>
      </c>
      <c r="K7" t="str">
        <f t="shared" si="0"/>
        <v>Sabit</v>
      </c>
    </row>
    <row r="8" spans="1:11" x14ac:dyDescent="0.3">
      <c r="A8" s="9" t="s">
        <v>3</v>
      </c>
      <c r="B8" s="47" t="s">
        <v>66</v>
      </c>
      <c r="C8" s="8" t="s">
        <v>599</v>
      </c>
      <c r="D8" s="8" t="s">
        <v>600</v>
      </c>
      <c r="E8" s="8"/>
      <c r="F8" s="8"/>
      <c r="G8" s="8"/>
      <c r="H8" s="10">
        <v>9.5</v>
      </c>
      <c r="I8" s="54">
        <f>VLOOKUP(A8,İstasyonlar!$A$2:$D$776,4,0)</f>
        <v>1000000</v>
      </c>
      <c r="J8" s="54">
        <f t="shared" si="1"/>
        <v>4</v>
      </c>
      <c r="K8" t="str">
        <f t="shared" si="0"/>
        <v/>
      </c>
    </row>
    <row r="9" spans="1:11" x14ac:dyDescent="0.3">
      <c r="A9" s="9" t="s">
        <v>3</v>
      </c>
      <c r="B9" s="47" t="s">
        <v>67</v>
      </c>
      <c r="C9" s="8" t="s">
        <v>599</v>
      </c>
      <c r="D9" s="8" t="s">
        <v>600</v>
      </c>
      <c r="E9" s="8"/>
      <c r="F9" s="8"/>
      <c r="G9" s="8"/>
      <c r="H9" s="10">
        <v>3.1</v>
      </c>
      <c r="I9" s="54">
        <f>VLOOKUP(A9,İstasyonlar!$A$2:$D$776,4,0)</f>
        <v>1000000</v>
      </c>
      <c r="J9" s="54">
        <f t="shared" si="1"/>
        <v>4</v>
      </c>
      <c r="K9" t="str">
        <f t="shared" si="0"/>
        <v/>
      </c>
    </row>
    <row r="10" spans="1:11" x14ac:dyDescent="0.3">
      <c r="A10" s="9" t="s">
        <v>5</v>
      </c>
      <c r="B10" s="47" t="s">
        <v>68</v>
      </c>
      <c r="C10" s="8" t="s">
        <v>601</v>
      </c>
      <c r="D10" s="8" t="s">
        <v>602</v>
      </c>
      <c r="E10" s="8" t="s">
        <v>595</v>
      </c>
      <c r="F10" s="8"/>
      <c r="G10" s="8"/>
      <c r="H10" s="10">
        <v>6.5</v>
      </c>
      <c r="I10" s="54">
        <f>VLOOKUP(A10,İstasyonlar!$A$2:$D$776,4,0)</f>
        <v>1000000</v>
      </c>
      <c r="J10" s="54">
        <f t="shared" si="1"/>
        <v>5</v>
      </c>
      <c r="K10" t="str">
        <f t="shared" si="0"/>
        <v/>
      </c>
    </row>
    <row r="11" spans="1:11" x14ac:dyDescent="0.3">
      <c r="A11" s="9" t="s">
        <v>5</v>
      </c>
      <c r="B11" s="47" t="s">
        <v>69</v>
      </c>
      <c r="C11" s="8" t="s">
        <v>601</v>
      </c>
      <c r="D11" s="8" t="s">
        <v>602</v>
      </c>
      <c r="E11" s="8" t="s">
        <v>595</v>
      </c>
      <c r="F11" s="8"/>
      <c r="G11" s="8"/>
      <c r="H11" s="10">
        <v>3.1</v>
      </c>
      <c r="I11" s="54">
        <f>VLOOKUP(A11,İstasyonlar!$A$2:$D$776,4,0)</f>
        <v>1000000</v>
      </c>
      <c r="J11" s="54">
        <f t="shared" si="1"/>
        <v>5</v>
      </c>
      <c r="K11" t="str">
        <f t="shared" si="0"/>
        <v/>
      </c>
    </row>
    <row r="12" spans="1:11" x14ac:dyDescent="0.3">
      <c r="A12" s="9" t="s">
        <v>5</v>
      </c>
      <c r="B12" s="47" t="s">
        <v>70</v>
      </c>
      <c r="C12" s="8" t="s">
        <v>601</v>
      </c>
      <c r="D12" s="8" t="s">
        <v>602</v>
      </c>
      <c r="E12" s="8" t="s">
        <v>595</v>
      </c>
      <c r="F12" s="8"/>
      <c r="G12" s="8"/>
      <c r="H12" s="10">
        <v>0.3</v>
      </c>
      <c r="I12" s="54">
        <f>VLOOKUP(A12,İstasyonlar!$A$2:$D$776,4,0)</f>
        <v>1000000</v>
      </c>
      <c r="J12" s="54">
        <f t="shared" si="1"/>
        <v>5</v>
      </c>
      <c r="K12" t="str">
        <f t="shared" si="0"/>
        <v/>
      </c>
    </row>
    <row r="13" spans="1:11" x14ac:dyDescent="0.3">
      <c r="A13" s="9" t="s">
        <v>329</v>
      </c>
      <c r="B13" s="47" t="s">
        <v>330</v>
      </c>
      <c r="C13" s="8" t="s">
        <v>595</v>
      </c>
      <c r="D13" s="8"/>
      <c r="E13" s="8" t="s">
        <v>603</v>
      </c>
      <c r="F13" s="8" t="s">
        <v>596</v>
      </c>
      <c r="G13" s="8"/>
      <c r="H13" s="10">
        <v>6.5</v>
      </c>
      <c r="I13" s="54">
        <f>VLOOKUP(A13,İstasyonlar!$A$2:$D$776,4,0)</f>
        <v>1000000</v>
      </c>
      <c r="J13" s="54">
        <f t="shared" si="1"/>
        <v>6</v>
      </c>
      <c r="K13" t="str">
        <f t="shared" si="0"/>
        <v/>
      </c>
    </row>
    <row r="14" spans="1:11" x14ac:dyDescent="0.3">
      <c r="A14" s="9" t="s">
        <v>329</v>
      </c>
      <c r="B14" s="47" t="s">
        <v>331</v>
      </c>
      <c r="C14" s="8" t="s">
        <v>595</v>
      </c>
      <c r="D14" s="8"/>
      <c r="E14" s="8" t="s">
        <v>603</v>
      </c>
      <c r="F14" s="8" t="s">
        <v>596</v>
      </c>
      <c r="G14" s="8"/>
      <c r="H14" s="10">
        <v>2.8</v>
      </c>
      <c r="I14" s="54">
        <f>VLOOKUP(A14,İstasyonlar!$A$2:$D$776,4,0)</f>
        <v>1000000</v>
      </c>
      <c r="J14" s="54">
        <f t="shared" si="1"/>
        <v>6</v>
      </c>
      <c r="K14" t="str">
        <f t="shared" si="0"/>
        <v/>
      </c>
    </row>
    <row r="15" spans="1:11" x14ac:dyDescent="0.3">
      <c r="A15" s="9" t="s">
        <v>329</v>
      </c>
      <c r="B15" s="47" t="s">
        <v>332</v>
      </c>
      <c r="C15" s="8" t="s">
        <v>595</v>
      </c>
      <c r="D15" s="8"/>
      <c r="E15" s="8" t="s">
        <v>603</v>
      </c>
      <c r="F15" s="8" t="s">
        <v>596</v>
      </c>
      <c r="G15" s="8"/>
      <c r="H15" s="10">
        <v>3.1</v>
      </c>
      <c r="I15" s="54">
        <f>VLOOKUP(A15,İstasyonlar!$A$2:$D$776,4,0)</f>
        <v>1000000</v>
      </c>
      <c r="J15" s="54">
        <f t="shared" si="1"/>
        <v>6</v>
      </c>
      <c r="K15" t="str">
        <f t="shared" si="0"/>
        <v/>
      </c>
    </row>
    <row r="16" spans="1:11" x14ac:dyDescent="0.3">
      <c r="A16" s="9" t="s">
        <v>289</v>
      </c>
      <c r="B16" s="47" t="s">
        <v>290</v>
      </c>
      <c r="C16" s="8" t="s">
        <v>604</v>
      </c>
      <c r="D16" s="8" t="s">
        <v>605</v>
      </c>
      <c r="E16" s="8"/>
      <c r="F16" s="8"/>
      <c r="G16" s="8"/>
      <c r="H16" s="10">
        <v>4.3</v>
      </c>
      <c r="I16" s="54">
        <f>VLOOKUP(A16,İstasyonlar!$A$2:$D$776,4,0)</f>
        <v>1000000</v>
      </c>
      <c r="J16" s="54">
        <f t="shared" si="1"/>
        <v>7</v>
      </c>
      <c r="K16" t="str">
        <f t="shared" si="0"/>
        <v/>
      </c>
    </row>
    <row r="17" spans="1:11" x14ac:dyDescent="0.3">
      <c r="A17" s="9" t="s">
        <v>6</v>
      </c>
      <c r="B17" s="47" t="s">
        <v>73</v>
      </c>
      <c r="C17" s="8" t="s">
        <v>606</v>
      </c>
      <c r="D17" s="8" t="s">
        <v>599</v>
      </c>
      <c r="E17" s="8"/>
      <c r="F17" s="8"/>
      <c r="G17" s="8"/>
      <c r="H17" s="10">
        <v>5.3</v>
      </c>
      <c r="I17" s="54">
        <f>VLOOKUP(A17,İstasyonlar!$A$2:$D$776,4,0)</f>
        <v>999999999</v>
      </c>
      <c r="J17" s="54">
        <f t="shared" si="1"/>
        <v>8</v>
      </c>
      <c r="K17" t="str">
        <f t="shared" si="0"/>
        <v>Sabit</v>
      </c>
    </row>
    <row r="18" spans="1:11" x14ac:dyDescent="0.3">
      <c r="A18" s="9" t="s">
        <v>6</v>
      </c>
      <c r="B18" s="47" t="s">
        <v>74</v>
      </c>
      <c r="C18" s="8" t="s">
        <v>606</v>
      </c>
      <c r="D18" s="8" t="s">
        <v>599</v>
      </c>
      <c r="E18" s="8"/>
      <c r="F18" s="8"/>
      <c r="G18" s="8"/>
      <c r="H18" s="10">
        <v>6.4</v>
      </c>
      <c r="I18" s="54">
        <f>VLOOKUP(A18,İstasyonlar!$A$2:$D$776,4,0)</f>
        <v>999999999</v>
      </c>
      <c r="J18" s="54">
        <f t="shared" si="1"/>
        <v>8</v>
      </c>
      <c r="K18" t="str">
        <f t="shared" si="0"/>
        <v>Sabit</v>
      </c>
    </row>
    <row r="19" spans="1:11" x14ac:dyDescent="0.3">
      <c r="A19" s="9" t="s">
        <v>6</v>
      </c>
      <c r="B19" s="47" t="s">
        <v>75</v>
      </c>
      <c r="C19" s="8" t="s">
        <v>606</v>
      </c>
      <c r="D19" s="8" t="s">
        <v>599</v>
      </c>
      <c r="E19" s="8"/>
      <c r="F19" s="8"/>
      <c r="G19" s="8"/>
      <c r="H19" s="10">
        <v>2.4</v>
      </c>
      <c r="I19" s="54">
        <f>VLOOKUP(A19,İstasyonlar!$A$2:$D$776,4,0)</f>
        <v>999999999</v>
      </c>
      <c r="J19" s="54">
        <f t="shared" si="1"/>
        <v>8</v>
      </c>
      <c r="K19" t="str">
        <f t="shared" si="0"/>
        <v>Sabit</v>
      </c>
    </row>
    <row r="20" spans="1:11" x14ac:dyDescent="0.3">
      <c r="A20" s="9" t="s">
        <v>6</v>
      </c>
      <c r="B20" s="47" t="s">
        <v>76</v>
      </c>
      <c r="C20" s="8" t="s">
        <v>606</v>
      </c>
      <c r="D20" s="8" t="s">
        <v>599</v>
      </c>
      <c r="E20" s="8"/>
      <c r="F20" s="8"/>
      <c r="G20" s="8"/>
      <c r="H20" s="10">
        <v>2.7</v>
      </c>
      <c r="I20" s="54">
        <f>VLOOKUP(A20,İstasyonlar!$A$2:$D$776,4,0)</f>
        <v>999999999</v>
      </c>
      <c r="J20" s="54">
        <f t="shared" si="1"/>
        <v>8</v>
      </c>
      <c r="K20" t="str">
        <f t="shared" si="0"/>
        <v>Sabit</v>
      </c>
    </row>
    <row r="21" spans="1:11" x14ac:dyDescent="0.3">
      <c r="A21" s="9" t="s">
        <v>7</v>
      </c>
      <c r="B21" s="47" t="s">
        <v>77</v>
      </c>
      <c r="C21" s="8" t="s">
        <v>607</v>
      </c>
      <c r="D21" s="8" t="s">
        <v>608</v>
      </c>
      <c r="E21" s="8"/>
      <c r="F21" s="8"/>
      <c r="G21" s="8" t="s">
        <v>596</v>
      </c>
      <c r="H21" s="10">
        <v>9.1999999999999993</v>
      </c>
      <c r="I21" s="54">
        <f>VLOOKUP(A21,İstasyonlar!$A$2:$D$776,4,0)</f>
        <v>999999999</v>
      </c>
      <c r="J21" s="54">
        <f t="shared" si="1"/>
        <v>9</v>
      </c>
      <c r="K21" t="str">
        <f t="shared" si="0"/>
        <v>Sabit</v>
      </c>
    </row>
    <row r="22" spans="1:11" x14ac:dyDescent="0.3">
      <c r="A22" s="9" t="s">
        <v>7</v>
      </c>
      <c r="B22" s="47" t="s">
        <v>78</v>
      </c>
      <c r="C22" s="8" t="s">
        <v>607</v>
      </c>
      <c r="D22" s="8" t="s">
        <v>608</v>
      </c>
      <c r="E22" s="8"/>
      <c r="F22" s="8"/>
      <c r="G22" s="8" t="s">
        <v>596</v>
      </c>
      <c r="H22" s="10">
        <v>9.1999999999999993</v>
      </c>
      <c r="I22" s="54">
        <f>VLOOKUP(A22,İstasyonlar!$A$2:$D$776,4,0)</f>
        <v>999999999</v>
      </c>
      <c r="J22" s="54">
        <f t="shared" si="1"/>
        <v>9</v>
      </c>
      <c r="K22" t="str">
        <f t="shared" si="0"/>
        <v>Sabit</v>
      </c>
    </row>
    <row r="23" spans="1:11" x14ac:dyDescent="0.3">
      <c r="A23" s="9" t="s">
        <v>291</v>
      </c>
      <c r="B23" s="47" t="s">
        <v>292</v>
      </c>
      <c r="C23" s="8" t="s">
        <v>608</v>
      </c>
      <c r="D23" s="8" t="s">
        <v>607</v>
      </c>
      <c r="E23" s="8" t="s">
        <v>606</v>
      </c>
      <c r="F23" s="8"/>
      <c r="G23" s="8"/>
      <c r="H23" s="10">
        <v>9.1999999999999993</v>
      </c>
      <c r="I23" s="54">
        <f>VLOOKUP(A23,İstasyonlar!$A$2:$D$776,4,0)</f>
        <v>999999999</v>
      </c>
      <c r="J23" s="54">
        <f t="shared" si="1"/>
        <v>10</v>
      </c>
      <c r="K23" t="str">
        <f t="shared" si="0"/>
        <v>Sabit</v>
      </c>
    </row>
    <row r="24" spans="1:11" x14ac:dyDescent="0.3">
      <c r="A24" s="9" t="s">
        <v>291</v>
      </c>
      <c r="B24" s="47" t="s">
        <v>293</v>
      </c>
      <c r="C24" s="8" t="s">
        <v>608</v>
      </c>
      <c r="D24" s="8" t="s">
        <v>607</v>
      </c>
      <c r="E24" s="8" t="s">
        <v>606</v>
      </c>
      <c r="F24" s="8"/>
      <c r="G24" s="8"/>
      <c r="H24" s="10">
        <v>9.1999999999999993</v>
      </c>
      <c r="I24" s="54">
        <f>VLOOKUP(A24,İstasyonlar!$A$2:$D$776,4,0)</f>
        <v>999999999</v>
      </c>
      <c r="J24" s="54">
        <f t="shared" si="1"/>
        <v>10</v>
      </c>
      <c r="K24" t="str">
        <f t="shared" si="0"/>
        <v>Sabit</v>
      </c>
    </row>
    <row r="25" spans="1:11" x14ac:dyDescent="0.3">
      <c r="A25" s="9" t="s">
        <v>8</v>
      </c>
      <c r="B25" s="47" t="s">
        <v>81</v>
      </c>
      <c r="C25" s="8" t="s">
        <v>609</v>
      </c>
      <c r="D25" s="8"/>
      <c r="E25" s="8"/>
      <c r="F25" s="8"/>
      <c r="G25" s="8"/>
      <c r="H25" s="10">
        <v>5.5</v>
      </c>
      <c r="I25" s="54">
        <f>VLOOKUP(A25,İstasyonlar!$A$2:$D$776,4,0)</f>
        <v>999999999</v>
      </c>
      <c r="J25" s="54">
        <f t="shared" si="1"/>
        <v>11</v>
      </c>
      <c r="K25" t="str">
        <f t="shared" si="0"/>
        <v>Sabit</v>
      </c>
    </row>
    <row r="26" spans="1:11" x14ac:dyDescent="0.3">
      <c r="A26" s="9" t="s">
        <v>8</v>
      </c>
      <c r="B26" s="47" t="s">
        <v>340</v>
      </c>
      <c r="C26" s="8" t="s">
        <v>609</v>
      </c>
      <c r="D26" s="8"/>
      <c r="E26" s="8"/>
      <c r="F26" s="8"/>
      <c r="G26" s="8"/>
      <c r="H26" s="10">
        <v>3.1</v>
      </c>
      <c r="I26" s="54">
        <f>VLOOKUP(A26,İstasyonlar!$A$2:$D$776,4,0)</f>
        <v>999999999</v>
      </c>
      <c r="J26" s="54">
        <f t="shared" si="1"/>
        <v>11</v>
      </c>
      <c r="K26" t="str">
        <f t="shared" si="0"/>
        <v>Sabit</v>
      </c>
    </row>
    <row r="27" spans="1:11" x14ac:dyDescent="0.3">
      <c r="A27" s="9" t="s">
        <v>8</v>
      </c>
      <c r="B27" s="47" t="s">
        <v>341</v>
      </c>
      <c r="C27" s="8" t="s">
        <v>609</v>
      </c>
      <c r="D27" s="8"/>
      <c r="E27" s="8"/>
      <c r="F27" s="8"/>
      <c r="G27" s="8"/>
      <c r="H27" s="10">
        <v>4.5</v>
      </c>
      <c r="I27" s="54">
        <f>VLOOKUP(A27,İstasyonlar!$A$2:$D$776,4,0)</f>
        <v>999999999</v>
      </c>
      <c r="J27" s="54">
        <f t="shared" si="1"/>
        <v>11</v>
      </c>
      <c r="K27" t="str">
        <f t="shared" si="0"/>
        <v>Sabit</v>
      </c>
    </row>
    <row r="28" spans="1:11" x14ac:dyDescent="0.3">
      <c r="A28" s="9" t="s">
        <v>8</v>
      </c>
      <c r="B28" s="47" t="s">
        <v>80</v>
      </c>
      <c r="C28" s="8" t="s">
        <v>609</v>
      </c>
      <c r="D28" s="8"/>
      <c r="E28" s="8"/>
      <c r="F28" s="8"/>
      <c r="G28" s="8"/>
      <c r="H28" s="10">
        <v>2.7</v>
      </c>
      <c r="I28" s="54">
        <f>VLOOKUP(A28,İstasyonlar!$A$2:$D$776,4,0)</f>
        <v>999999999</v>
      </c>
      <c r="J28" s="54">
        <f t="shared" si="1"/>
        <v>11</v>
      </c>
      <c r="K28" t="str">
        <f t="shared" si="0"/>
        <v>Sabit</v>
      </c>
    </row>
    <row r="29" spans="1:11" x14ac:dyDescent="0.3">
      <c r="A29" s="9" t="s">
        <v>9</v>
      </c>
      <c r="B29" s="47" t="s">
        <v>83</v>
      </c>
      <c r="C29" s="8" t="s">
        <v>610</v>
      </c>
      <c r="D29" s="8" t="s">
        <v>611</v>
      </c>
      <c r="E29" s="8"/>
      <c r="F29" s="8"/>
      <c r="G29" s="8"/>
      <c r="H29" s="10">
        <v>3.9</v>
      </c>
      <c r="I29" s="54">
        <f>VLOOKUP(A29,İstasyonlar!$A$2:$D$776,4,0)</f>
        <v>1000000</v>
      </c>
      <c r="J29" s="54">
        <f t="shared" si="1"/>
        <v>12</v>
      </c>
      <c r="K29" t="str">
        <f t="shared" si="0"/>
        <v/>
      </c>
    </row>
    <row r="30" spans="1:11" x14ac:dyDescent="0.3">
      <c r="A30" s="9" t="s">
        <v>9</v>
      </c>
      <c r="B30" s="47" t="s">
        <v>84</v>
      </c>
      <c r="C30" s="8" t="s">
        <v>610</v>
      </c>
      <c r="D30" s="8" t="s">
        <v>611</v>
      </c>
      <c r="E30" s="8"/>
      <c r="F30" s="8"/>
      <c r="G30" s="8"/>
      <c r="H30" s="10">
        <v>5.5</v>
      </c>
      <c r="I30" s="54">
        <f>VLOOKUP(A30,İstasyonlar!$A$2:$D$776,4,0)</f>
        <v>1000000</v>
      </c>
      <c r="J30" s="54">
        <f t="shared" si="1"/>
        <v>12</v>
      </c>
      <c r="K30" t="str">
        <f t="shared" si="0"/>
        <v/>
      </c>
    </row>
    <row r="31" spans="1:11" x14ac:dyDescent="0.3">
      <c r="A31" s="9" t="s">
        <v>9</v>
      </c>
      <c r="B31" s="47" t="s">
        <v>85</v>
      </c>
      <c r="C31" s="8" t="s">
        <v>610</v>
      </c>
      <c r="D31" s="8" t="s">
        <v>611</v>
      </c>
      <c r="E31" s="8"/>
      <c r="F31" s="8"/>
      <c r="G31" s="8"/>
      <c r="H31" s="10">
        <v>7.2</v>
      </c>
      <c r="I31" s="54">
        <f>VLOOKUP(A31,İstasyonlar!$A$2:$D$776,4,0)</f>
        <v>1000000</v>
      </c>
      <c r="J31" s="54">
        <f t="shared" si="1"/>
        <v>12</v>
      </c>
      <c r="K31" t="str">
        <f t="shared" si="0"/>
        <v/>
      </c>
    </row>
    <row r="32" spans="1:11" x14ac:dyDescent="0.3">
      <c r="A32" s="9" t="s">
        <v>13</v>
      </c>
      <c r="B32" s="47" t="s">
        <v>86</v>
      </c>
      <c r="C32" s="8" t="s">
        <v>612</v>
      </c>
      <c r="D32" s="8"/>
      <c r="E32" s="8"/>
      <c r="F32" s="8"/>
      <c r="G32" s="8"/>
      <c r="H32" s="10">
        <v>11.5</v>
      </c>
      <c r="I32" s="54">
        <f>VLOOKUP(A32,İstasyonlar!$A$2:$D$776,4,0)</f>
        <v>1000000</v>
      </c>
      <c r="J32" s="54">
        <f t="shared" si="1"/>
        <v>13</v>
      </c>
      <c r="K32" t="str">
        <f t="shared" si="0"/>
        <v/>
      </c>
    </row>
    <row r="33" spans="1:11" x14ac:dyDescent="0.3">
      <c r="A33" s="9" t="s">
        <v>14</v>
      </c>
      <c r="B33" s="47" t="s">
        <v>87</v>
      </c>
      <c r="C33" s="8" t="s">
        <v>613</v>
      </c>
      <c r="D33" s="8" t="s">
        <v>612</v>
      </c>
      <c r="E33" s="8"/>
      <c r="F33" s="8"/>
      <c r="G33" s="8"/>
      <c r="H33" s="10">
        <v>6.2</v>
      </c>
      <c r="I33" s="54">
        <f>VLOOKUP(A33,İstasyonlar!$A$2:$D$776,4,0)</f>
        <v>1000000</v>
      </c>
      <c r="J33" s="54">
        <f t="shared" si="1"/>
        <v>14</v>
      </c>
      <c r="K33" t="str">
        <f t="shared" si="0"/>
        <v/>
      </c>
    </row>
    <row r="34" spans="1:11" x14ac:dyDescent="0.3">
      <c r="A34" s="9" t="s">
        <v>14</v>
      </c>
      <c r="B34" s="47" t="s">
        <v>88</v>
      </c>
      <c r="C34" s="8" t="s">
        <v>613</v>
      </c>
      <c r="D34" s="8" t="s">
        <v>612</v>
      </c>
      <c r="E34" s="8"/>
      <c r="F34" s="8"/>
      <c r="G34" s="8"/>
      <c r="H34" s="10">
        <v>3.1</v>
      </c>
      <c r="I34" s="54">
        <f>VLOOKUP(A34,İstasyonlar!$A$2:$D$776,4,0)</f>
        <v>1000000</v>
      </c>
      <c r="J34" s="54">
        <f t="shared" si="1"/>
        <v>14</v>
      </c>
      <c r="K34" t="str">
        <f t="shared" si="0"/>
        <v/>
      </c>
    </row>
    <row r="35" spans="1:11" x14ac:dyDescent="0.3">
      <c r="A35" s="9" t="s">
        <v>12</v>
      </c>
      <c r="B35" s="47" t="s">
        <v>89</v>
      </c>
      <c r="C35" s="8" t="s">
        <v>614</v>
      </c>
      <c r="D35" s="8"/>
      <c r="E35" s="8"/>
      <c r="F35" s="8"/>
      <c r="G35" s="8"/>
      <c r="H35" s="10">
        <v>3.2</v>
      </c>
      <c r="I35" s="54">
        <f>VLOOKUP(A35,İstasyonlar!$A$2:$D$776,4,0)</f>
        <v>999999999</v>
      </c>
      <c r="J35" s="54">
        <f t="shared" si="1"/>
        <v>15</v>
      </c>
      <c r="K35" t="str">
        <f t="shared" si="0"/>
        <v>Sabit</v>
      </c>
    </row>
    <row r="36" spans="1:11" x14ac:dyDescent="0.3">
      <c r="A36" s="9" t="s">
        <v>12</v>
      </c>
      <c r="B36" s="47" t="s">
        <v>90</v>
      </c>
      <c r="C36" s="8" t="s">
        <v>614</v>
      </c>
      <c r="D36" s="8"/>
      <c r="E36" s="8"/>
      <c r="F36" s="8"/>
      <c r="G36" s="8"/>
      <c r="H36" s="10">
        <v>5.5</v>
      </c>
      <c r="I36" s="54">
        <f>VLOOKUP(A36,İstasyonlar!$A$2:$D$776,4,0)</f>
        <v>999999999</v>
      </c>
      <c r="J36" s="54">
        <f t="shared" si="1"/>
        <v>15</v>
      </c>
      <c r="K36" t="str">
        <f t="shared" si="0"/>
        <v>Sabit</v>
      </c>
    </row>
    <row r="37" spans="1:11" x14ac:dyDescent="0.3">
      <c r="A37" s="9" t="s">
        <v>12</v>
      </c>
      <c r="B37" s="47" t="s">
        <v>91</v>
      </c>
      <c r="C37" s="8" t="s">
        <v>614</v>
      </c>
      <c r="D37" s="8"/>
      <c r="E37" s="8"/>
      <c r="F37" s="8"/>
      <c r="G37" s="8"/>
      <c r="H37" s="10">
        <v>5</v>
      </c>
      <c r="I37" s="54">
        <f>VLOOKUP(A37,İstasyonlar!$A$2:$D$776,4,0)</f>
        <v>999999999</v>
      </c>
      <c r="J37" s="54">
        <f t="shared" si="1"/>
        <v>15</v>
      </c>
      <c r="K37" t="str">
        <f t="shared" si="0"/>
        <v>Sabit</v>
      </c>
    </row>
    <row r="38" spans="1:11" x14ac:dyDescent="0.3">
      <c r="A38" s="9" t="s">
        <v>11</v>
      </c>
      <c r="B38" s="47" t="s">
        <v>92</v>
      </c>
      <c r="C38" s="8" t="s">
        <v>615</v>
      </c>
      <c r="D38" s="8"/>
      <c r="E38" s="8"/>
      <c r="F38" s="8"/>
      <c r="G38" s="8"/>
      <c r="H38" s="10">
        <v>6</v>
      </c>
      <c r="I38" s="54">
        <f>VLOOKUP(A38,İstasyonlar!$A$2:$D$776,4,0)</f>
        <v>999999999</v>
      </c>
      <c r="J38" s="54">
        <f t="shared" si="1"/>
        <v>16</v>
      </c>
      <c r="K38" t="str">
        <f t="shared" si="0"/>
        <v>Sabit</v>
      </c>
    </row>
    <row r="39" spans="1:11" x14ac:dyDescent="0.3">
      <c r="A39" s="9" t="s">
        <v>11</v>
      </c>
      <c r="B39" s="47" t="s">
        <v>94</v>
      </c>
      <c r="C39" s="8" t="s">
        <v>615</v>
      </c>
      <c r="D39" s="8"/>
      <c r="E39" s="8"/>
      <c r="F39" s="8"/>
      <c r="G39" s="8"/>
      <c r="H39" s="10">
        <v>8.1</v>
      </c>
      <c r="I39" s="54">
        <f>VLOOKUP(A39,İstasyonlar!$A$2:$D$776,4,0)</f>
        <v>999999999</v>
      </c>
      <c r="J39" s="54">
        <f t="shared" si="1"/>
        <v>16</v>
      </c>
      <c r="K39" t="str">
        <f t="shared" si="0"/>
        <v>Sabit</v>
      </c>
    </row>
    <row r="40" spans="1:11" x14ac:dyDescent="0.3">
      <c r="A40" s="9" t="s">
        <v>11</v>
      </c>
      <c r="B40" s="47" t="s">
        <v>95</v>
      </c>
      <c r="C40" s="8" t="s">
        <v>615</v>
      </c>
      <c r="D40" s="8"/>
      <c r="E40" s="8"/>
      <c r="F40" s="8"/>
      <c r="G40" s="8"/>
      <c r="H40" s="10">
        <v>3.8</v>
      </c>
      <c r="I40" s="54">
        <f>VLOOKUP(A40,İstasyonlar!$A$2:$D$776,4,0)</f>
        <v>999999999</v>
      </c>
      <c r="J40" s="54">
        <f t="shared" si="1"/>
        <v>16</v>
      </c>
      <c r="K40" t="str">
        <f t="shared" si="0"/>
        <v>Sabit</v>
      </c>
    </row>
    <row r="41" spans="1:11" x14ac:dyDescent="0.3">
      <c r="A41" s="9" t="s">
        <v>10</v>
      </c>
      <c r="B41" s="47" t="s">
        <v>96</v>
      </c>
      <c r="C41" s="8" t="s">
        <v>616</v>
      </c>
      <c r="D41" s="8" t="s">
        <v>604</v>
      </c>
      <c r="E41" s="8"/>
      <c r="F41" s="8"/>
      <c r="G41" s="8"/>
      <c r="H41" s="10">
        <v>3.5</v>
      </c>
      <c r="I41" s="54">
        <f>VLOOKUP(A41,İstasyonlar!$A$2:$D$776,4,0)</f>
        <v>999999999</v>
      </c>
      <c r="J41" s="54">
        <f t="shared" si="1"/>
        <v>17</v>
      </c>
      <c r="K41" t="str">
        <f t="shared" si="0"/>
        <v>Sabit</v>
      </c>
    </row>
    <row r="42" spans="1:11" x14ac:dyDescent="0.3">
      <c r="A42" s="9" t="s">
        <v>10</v>
      </c>
      <c r="B42" s="47" t="s">
        <v>97</v>
      </c>
      <c r="C42" s="8" t="s">
        <v>616</v>
      </c>
      <c r="D42" s="8" t="s">
        <v>604</v>
      </c>
      <c r="E42" s="8"/>
      <c r="F42" s="8"/>
      <c r="G42" s="8"/>
      <c r="H42" s="10">
        <v>3.1</v>
      </c>
      <c r="I42" s="54">
        <f>VLOOKUP(A42,İstasyonlar!$A$2:$D$776,4,0)</f>
        <v>999999999</v>
      </c>
      <c r="J42" s="54">
        <f t="shared" si="1"/>
        <v>17</v>
      </c>
      <c r="K42" t="str">
        <f t="shared" si="0"/>
        <v>Sabit</v>
      </c>
    </row>
    <row r="43" spans="1:11" x14ac:dyDescent="0.3">
      <c r="A43" s="9" t="s">
        <v>15</v>
      </c>
      <c r="B43" s="47" t="s">
        <v>99</v>
      </c>
      <c r="C43" s="8" t="s">
        <v>617</v>
      </c>
      <c r="D43" s="8" t="s">
        <v>618</v>
      </c>
      <c r="E43" s="8" t="s">
        <v>619</v>
      </c>
      <c r="F43" s="8"/>
      <c r="G43" s="8"/>
      <c r="H43" s="10">
        <v>2.1</v>
      </c>
      <c r="I43" s="54">
        <f>VLOOKUP(A43,İstasyonlar!$A$2:$D$776,4,0)</f>
        <v>999999999</v>
      </c>
      <c r="J43" s="54">
        <f t="shared" si="1"/>
        <v>18</v>
      </c>
      <c r="K43" t="str">
        <f t="shared" si="0"/>
        <v>Sabit</v>
      </c>
    </row>
    <row r="44" spans="1:11" x14ac:dyDescent="0.3">
      <c r="A44" s="9" t="s">
        <v>15</v>
      </c>
      <c r="B44" s="47" t="s">
        <v>100</v>
      </c>
      <c r="C44" s="8" t="s">
        <v>617</v>
      </c>
      <c r="D44" s="8" t="s">
        <v>618</v>
      </c>
      <c r="E44" s="8" t="s">
        <v>619</v>
      </c>
      <c r="F44" s="8"/>
      <c r="G44" s="8"/>
      <c r="H44" s="10">
        <v>1.8</v>
      </c>
      <c r="I44" s="54">
        <f>VLOOKUP(A44,İstasyonlar!$A$2:$D$776,4,0)</f>
        <v>999999999</v>
      </c>
      <c r="J44" s="54">
        <f t="shared" si="1"/>
        <v>18</v>
      </c>
      <c r="K44" t="str">
        <f t="shared" si="0"/>
        <v>Sabit</v>
      </c>
    </row>
    <row r="45" spans="1:11" x14ac:dyDescent="0.3">
      <c r="A45" s="9" t="s">
        <v>15</v>
      </c>
      <c r="B45" s="47" t="s">
        <v>101</v>
      </c>
      <c r="C45" s="8" t="s">
        <v>617</v>
      </c>
      <c r="D45" s="8" t="s">
        <v>618</v>
      </c>
      <c r="E45" s="8" t="s">
        <v>619</v>
      </c>
      <c r="F45" s="8"/>
      <c r="G45" s="8"/>
      <c r="H45" s="10">
        <v>3.2</v>
      </c>
      <c r="I45" s="54">
        <f>VLOOKUP(A45,İstasyonlar!$A$2:$D$776,4,0)</f>
        <v>999999999</v>
      </c>
      <c r="J45" s="54">
        <f t="shared" si="1"/>
        <v>18</v>
      </c>
      <c r="K45" t="str">
        <f t="shared" si="0"/>
        <v>Sabit</v>
      </c>
    </row>
    <row r="46" spans="1:11" x14ac:dyDescent="0.3">
      <c r="A46" s="9" t="s">
        <v>16</v>
      </c>
      <c r="B46" s="47" t="s">
        <v>106</v>
      </c>
      <c r="C46" s="8" t="s">
        <v>619</v>
      </c>
      <c r="D46" s="8"/>
      <c r="E46" s="8"/>
      <c r="F46" s="8" t="s">
        <v>617</v>
      </c>
      <c r="G46" s="8"/>
      <c r="H46" s="10">
        <v>4.5</v>
      </c>
      <c r="I46" s="54">
        <f>VLOOKUP(A46,İstasyonlar!$A$2:$D$776,4,0)</f>
        <v>1000000</v>
      </c>
      <c r="J46" s="54">
        <f t="shared" si="1"/>
        <v>19</v>
      </c>
      <c r="K46" t="str">
        <f t="shared" si="0"/>
        <v/>
      </c>
    </row>
    <row r="47" spans="1:11" x14ac:dyDescent="0.3">
      <c r="A47" s="9" t="s">
        <v>16</v>
      </c>
      <c r="B47" s="47" t="s">
        <v>105</v>
      </c>
      <c r="C47" s="8" t="s">
        <v>619</v>
      </c>
      <c r="D47" s="8"/>
      <c r="E47" s="8"/>
      <c r="F47" s="8" t="s">
        <v>617</v>
      </c>
      <c r="G47" s="8"/>
      <c r="H47" s="10">
        <v>6.8</v>
      </c>
      <c r="I47" s="54">
        <f>VLOOKUP(A47,İstasyonlar!$A$2:$D$776,4,0)</f>
        <v>1000000</v>
      </c>
      <c r="J47" s="54">
        <f t="shared" si="1"/>
        <v>19</v>
      </c>
      <c r="K47" t="str">
        <f t="shared" si="0"/>
        <v/>
      </c>
    </row>
    <row r="48" spans="1:11" x14ac:dyDescent="0.3">
      <c r="A48" s="9" t="s">
        <v>17</v>
      </c>
      <c r="B48" s="47" t="s">
        <v>108</v>
      </c>
      <c r="C48" s="8" t="s">
        <v>618</v>
      </c>
      <c r="D48" s="8" t="s">
        <v>619</v>
      </c>
      <c r="E48" s="8" t="s">
        <v>620</v>
      </c>
      <c r="F48" s="8"/>
      <c r="G48" s="8"/>
      <c r="H48" s="10">
        <v>3.1</v>
      </c>
      <c r="I48" s="54">
        <f>VLOOKUP(A48,İstasyonlar!$A$2:$D$776,4,0)</f>
        <v>1000000</v>
      </c>
      <c r="J48" s="54">
        <f t="shared" si="1"/>
        <v>20</v>
      </c>
      <c r="K48" t="str">
        <f t="shared" si="0"/>
        <v/>
      </c>
    </row>
    <row r="49" spans="1:11" x14ac:dyDescent="0.3">
      <c r="A49" s="9" t="s">
        <v>17</v>
      </c>
      <c r="B49" s="47" t="s">
        <v>109</v>
      </c>
      <c r="C49" s="8" t="s">
        <v>618</v>
      </c>
      <c r="D49" s="8" t="s">
        <v>619</v>
      </c>
      <c r="E49" s="8" t="s">
        <v>620</v>
      </c>
      <c r="F49" s="8"/>
      <c r="G49" s="8"/>
      <c r="H49" s="10">
        <v>2.5</v>
      </c>
      <c r="I49" s="54">
        <f>VLOOKUP(A49,İstasyonlar!$A$2:$D$776,4,0)</f>
        <v>1000000</v>
      </c>
      <c r="J49" s="54">
        <f t="shared" si="1"/>
        <v>20</v>
      </c>
      <c r="K49" t="str">
        <f t="shared" si="0"/>
        <v/>
      </c>
    </row>
    <row r="50" spans="1:11" x14ac:dyDescent="0.3">
      <c r="A50" s="9" t="s">
        <v>17</v>
      </c>
      <c r="B50" s="47" t="s">
        <v>110</v>
      </c>
      <c r="C50" s="8" t="s">
        <v>618</v>
      </c>
      <c r="D50" s="8" t="s">
        <v>619</v>
      </c>
      <c r="E50" s="8" t="s">
        <v>620</v>
      </c>
      <c r="F50" s="8"/>
      <c r="G50" s="8"/>
      <c r="H50" s="10">
        <v>3.1</v>
      </c>
      <c r="I50" s="54">
        <f>VLOOKUP(A50,İstasyonlar!$A$2:$D$776,4,0)</f>
        <v>1000000</v>
      </c>
      <c r="J50" s="54">
        <f t="shared" si="1"/>
        <v>20</v>
      </c>
      <c r="K50" t="str">
        <f t="shared" si="0"/>
        <v/>
      </c>
    </row>
    <row r="51" spans="1:11" x14ac:dyDescent="0.3">
      <c r="A51" s="9" t="s">
        <v>17</v>
      </c>
      <c r="B51" s="47" t="s">
        <v>111</v>
      </c>
      <c r="C51" s="8" t="s">
        <v>618</v>
      </c>
      <c r="D51" s="8" t="s">
        <v>619</v>
      </c>
      <c r="E51" s="8" t="s">
        <v>620</v>
      </c>
      <c r="F51" s="8"/>
      <c r="G51" s="8"/>
      <c r="H51" s="10">
        <v>5.5</v>
      </c>
      <c r="I51" s="54">
        <f>VLOOKUP(A51,İstasyonlar!$A$2:$D$776,4,0)</f>
        <v>1000000</v>
      </c>
      <c r="J51" s="54">
        <f t="shared" si="1"/>
        <v>20</v>
      </c>
      <c r="K51" t="str">
        <f t="shared" si="0"/>
        <v/>
      </c>
    </row>
    <row r="52" spans="1:11" x14ac:dyDescent="0.3">
      <c r="A52" s="9" t="s">
        <v>20</v>
      </c>
      <c r="B52" s="47" t="s">
        <v>112</v>
      </c>
      <c r="C52" s="8" t="s">
        <v>621</v>
      </c>
      <c r="D52" s="8"/>
      <c r="E52" s="8"/>
      <c r="F52" s="8"/>
      <c r="G52" s="8"/>
      <c r="H52" s="10">
        <v>4.5</v>
      </c>
      <c r="I52" s="54">
        <f>VLOOKUP(A52,İstasyonlar!$A$2:$D$776,4,0)</f>
        <v>1000000</v>
      </c>
      <c r="J52" s="54">
        <f t="shared" si="1"/>
        <v>21</v>
      </c>
      <c r="K52" t="str">
        <f t="shared" si="0"/>
        <v/>
      </c>
    </row>
    <row r="53" spans="1:11" x14ac:dyDescent="0.3">
      <c r="A53" s="9" t="s">
        <v>20</v>
      </c>
      <c r="B53" s="47" t="s">
        <v>113</v>
      </c>
      <c r="C53" s="8" t="s">
        <v>621</v>
      </c>
      <c r="D53" s="8"/>
      <c r="E53" s="8"/>
      <c r="F53" s="8"/>
      <c r="G53" s="8"/>
      <c r="H53" s="10">
        <v>3.8</v>
      </c>
      <c r="I53" s="54">
        <f>VLOOKUP(A53,İstasyonlar!$A$2:$D$776,4,0)</f>
        <v>1000000</v>
      </c>
      <c r="J53" s="54">
        <f t="shared" si="1"/>
        <v>21</v>
      </c>
      <c r="K53" t="str">
        <f t="shared" si="0"/>
        <v/>
      </c>
    </row>
    <row r="54" spans="1:11" x14ac:dyDescent="0.3">
      <c r="A54" s="9" t="s">
        <v>20</v>
      </c>
      <c r="B54" s="47" t="s">
        <v>114</v>
      </c>
      <c r="C54" s="8" t="s">
        <v>621</v>
      </c>
      <c r="D54" s="8"/>
      <c r="E54" s="8"/>
      <c r="F54" s="8"/>
      <c r="G54" s="8"/>
      <c r="H54" s="10">
        <v>3.6</v>
      </c>
      <c r="I54" s="54">
        <f>VLOOKUP(A54,İstasyonlar!$A$2:$D$776,4,0)</f>
        <v>1000000</v>
      </c>
      <c r="J54" s="54">
        <f t="shared" si="1"/>
        <v>21</v>
      </c>
      <c r="K54" t="str">
        <f t="shared" si="0"/>
        <v/>
      </c>
    </row>
    <row r="55" spans="1:11" x14ac:dyDescent="0.3">
      <c r="A55" s="9" t="s">
        <v>20</v>
      </c>
      <c r="B55" s="47" t="s">
        <v>115</v>
      </c>
      <c r="C55" s="8" t="s">
        <v>621</v>
      </c>
      <c r="D55" s="8"/>
      <c r="E55" s="8"/>
      <c r="F55" s="8"/>
      <c r="G55" s="8"/>
      <c r="H55" s="10">
        <v>3.4</v>
      </c>
      <c r="I55" s="54">
        <f>VLOOKUP(A55,İstasyonlar!$A$2:$D$776,4,0)</f>
        <v>1000000</v>
      </c>
      <c r="J55" s="54">
        <f t="shared" si="1"/>
        <v>21</v>
      </c>
      <c r="K55" t="str">
        <f t="shared" si="0"/>
        <v/>
      </c>
    </row>
    <row r="56" spans="1:11" x14ac:dyDescent="0.3">
      <c r="A56" s="9" t="s">
        <v>20</v>
      </c>
      <c r="B56" s="47" t="s">
        <v>116</v>
      </c>
      <c r="C56" s="8" t="s">
        <v>621</v>
      </c>
      <c r="D56" s="8"/>
      <c r="E56" s="8"/>
      <c r="F56" s="8"/>
      <c r="G56" s="8"/>
      <c r="H56" s="10">
        <v>3.8</v>
      </c>
      <c r="I56" s="54">
        <f>VLOOKUP(A56,İstasyonlar!$A$2:$D$776,4,0)</f>
        <v>1000000</v>
      </c>
      <c r="J56" s="54">
        <f t="shared" si="1"/>
        <v>21</v>
      </c>
      <c r="K56" t="str">
        <f t="shared" si="0"/>
        <v/>
      </c>
    </row>
    <row r="57" spans="1:11" x14ac:dyDescent="0.3">
      <c r="A57" s="9" t="s">
        <v>20</v>
      </c>
      <c r="B57" s="47" t="s">
        <v>117</v>
      </c>
      <c r="C57" s="8" t="s">
        <v>621</v>
      </c>
      <c r="D57" s="8"/>
      <c r="E57" s="8"/>
      <c r="F57" s="8"/>
      <c r="G57" s="8"/>
      <c r="H57" s="10">
        <v>3.1</v>
      </c>
      <c r="I57" s="54">
        <f>VLOOKUP(A57,İstasyonlar!$A$2:$D$776,4,0)</f>
        <v>1000000</v>
      </c>
      <c r="J57" s="54">
        <f t="shared" si="1"/>
        <v>21</v>
      </c>
      <c r="K57" t="str">
        <f t="shared" si="0"/>
        <v/>
      </c>
    </row>
    <row r="58" spans="1:11" x14ac:dyDescent="0.3">
      <c r="A58" s="9" t="s">
        <v>21</v>
      </c>
      <c r="B58" s="47" t="s">
        <v>119</v>
      </c>
      <c r="C58" s="8" t="s">
        <v>602</v>
      </c>
      <c r="D58" s="8" t="s">
        <v>601</v>
      </c>
      <c r="E58" s="8"/>
      <c r="F58" s="8"/>
      <c r="G58" s="8"/>
      <c r="H58" s="10">
        <v>8.8000000000000007</v>
      </c>
      <c r="I58" s="54">
        <f>VLOOKUP(A58,İstasyonlar!$A$2:$D$776,4,0)</f>
        <v>1000000</v>
      </c>
      <c r="J58" s="54">
        <f t="shared" si="1"/>
        <v>22</v>
      </c>
      <c r="K58" t="str">
        <f t="shared" si="0"/>
        <v/>
      </c>
    </row>
    <row r="59" spans="1:11" x14ac:dyDescent="0.3">
      <c r="A59" s="9" t="s">
        <v>21</v>
      </c>
      <c r="B59" s="47" t="s">
        <v>120</v>
      </c>
      <c r="C59" s="8" t="s">
        <v>602</v>
      </c>
      <c r="D59" s="8" t="s">
        <v>601</v>
      </c>
      <c r="E59" s="8"/>
      <c r="F59" s="8"/>
      <c r="G59" s="8"/>
      <c r="H59" s="10">
        <v>4.0999999999999996</v>
      </c>
      <c r="I59" s="54">
        <f>VLOOKUP(A59,İstasyonlar!$A$2:$D$776,4,0)</f>
        <v>1000000</v>
      </c>
      <c r="J59" s="54">
        <f t="shared" si="1"/>
        <v>22</v>
      </c>
      <c r="K59" t="str">
        <f t="shared" si="0"/>
        <v/>
      </c>
    </row>
    <row r="60" spans="1:11" x14ac:dyDescent="0.3">
      <c r="A60" s="9" t="s">
        <v>22</v>
      </c>
      <c r="B60" s="47" t="s">
        <v>121</v>
      </c>
      <c r="C60" s="8" t="s">
        <v>603</v>
      </c>
      <c r="D60" s="8" t="s">
        <v>622</v>
      </c>
      <c r="E60" s="8"/>
      <c r="F60" s="8"/>
      <c r="G60" s="8"/>
      <c r="H60" s="10">
        <v>4.4000000000000004</v>
      </c>
      <c r="I60" s="54">
        <f>VLOOKUP(A60,İstasyonlar!$A$2:$D$776,4,0)</f>
        <v>999999999</v>
      </c>
      <c r="J60" s="54">
        <f t="shared" si="1"/>
        <v>23</v>
      </c>
      <c r="K60" t="str">
        <f t="shared" si="0"/>
        <v>Sabit</v>
      </c>
    </row>
    <row r="61" spans="1:11" x14ac:dyDescent="0.3">
      <c r="A61" s="9" t="s">
        <v>22</v>
      </c>
      <c r="B61" s="47" t="s">
        <v>124</v>
      </c>
      <c r="C61" s="8" t="s">
        <v>603</v>
      </c>
      <c r="D61" s="8" t="s">
        <v>622</v>
      </c>
      <c r="E61" s="8"/>
      <c r="F61" s="8"/>
      <c r="G61" s="8"/>
      <c r="H61" s="10">
        <v>6.5</v>
      </c>
      <c r="I61" s="54">
        <f>VLOOKUP(A61,İstasyonlar!$A$2:$D$776,4,0)</f>
        <v>999999999</v>
      </c>
      <c r="J61" s="54">
        <f t="shared" si="1"/>
        <v>23</v>
      </c>
      <c r="K61" t="str">
        <f t="shared" si="0"/>
        <v>Sabit</v>
      </c>
    </row>
    <row r="62" spans="1:11" x14ac:dyDescent="0.3">
      <c r="A62" s="9" t="s">
        <v>23</v>
      </c>
      <c r="B62" s="47" t="s">
        <v>125</v>
      </c>
      <c r="C62" s="8" t="s">
        <v>622</v>
      </c>
      <c r="D62" s="8" t="s">
        <v>623</v>
      </c>
      <c r="E62" s="8" t="s">
        <v>624</v>
      </c>
      <c r="F62" s="8"/>
      <c r="G62" s="8"/>
      <c r="H62" s="10">
        <v>5.8</v>
      </c>
      <c r="I62" s="54">
        <f>VLOOKUP(A62,İstasyonlar!$A$2:$D$776,4,0)</f>
        <v>999999999</v>
      </c>
      <c r="J62" s="54">
        <f t="shared" si="1"/>
        <v>24</v>
      </c>
      <c r="K62" t="str">
        <f t="shared" si="0"/>
        <v>Sabit</v>
      </c>
    </row>
    <row r="63" spans="1:11" x14ac:dyDescent="0.3">
      <c r="A63" s="9" t="s">
        <v>23</v>
      </c>
      <c r="B63" s="47" t="s">
        <v>126</v>
      </c>
      <c r="C63" s="8" t="s">
        <v>622</v>
      </c>
      <c r="D63" s="8" t="s">
        <v>623</v>
      </c>
      <c r="E63" s="8" t="s">
        <v>624</v>
      </c>
      <c r="F63" s="8"/>
      <c r="G63" s="8"/>
      <c r="H63" s="10">
        <v>3.6</v>
      </c>
      <c r="I63" s="54">
        <f>VLOOKUP(A63,İstasyonlar!$A$2:$D$776,4,0)</f>
        <v>999999999</v>
      </c>
      <c r="J63" s="54">
        <f t="shared" si="1"/>
        <v>24</v>
      </c>
      <c r="K63" t="str">
        <f t="shared" si="0"/>
        <v>Sabit</v>
      </c>
    </row>
    <row r="64" spans="1:11" x14ac:dyDescent="0.3">
      <c r="A64" s="9" t="s">
        <v>23</v>
      </c>
      <c r="B64" s="47" t="s">
        <v>127</v>
      </c>
      <c r="C64" s="8" t="s">
        <v>622</v>
      </c>
      <c r="D64" s="8" t="s">
        <v>623</v>
      </c>
      <c r="E64" s="8" t="s">
        <v>624</v>
      </c>
      <c r="F64" s="8"/>
      <c r="G64" s="8"/>
      <c r="H64" s="10">
        <v>3.6</v>
      </c>
      <c r="I64" s="54">
        <f>VLOOKUP(A64,İstasyonlar!$A$2:$D$776,4,0)</f>
        <v>999999999</v>
      </c>
      <c r="J64" s="54">
        <f t="shared" si="1"/>
        <v>24</v>
      </c>
      <c r="K64" t="str">
        <f t="shared" si="0"/>
        <v>Sabit</v>
      </c>
    </row>
    <row r="65" spans="1:11" x14ac:dyDescent="0.3">
      <c r="A65" s="9" t="s">
        <v>23</v>
      </c>
      <c r="B65" s="47" t="s">
        <v>128</v>
      </c>
      <c r="C65" s="8" t="s">
        <v>622</v>
      </c>
      <c r="D65" s="8" t="s">
        <v>623</v>
      </c>
      <c r="E65" s="8" t="s">
        <v>624</v>
      </c>
      <c r="F65" s="8"/>
      <c r="G65" s="8"/>
      <c r="H65" s="10">
        <v>3.6</v>
      </c>
      <c r="I65" s="54">
        <f>VLOOKUP(A65,İstasyonlar!$A$2:$D$776,4,0)</f>
        <v>999999999</v>
      </c>
      <c r="J65" s="54">
        <f t="shared" si="1"/>
        <v>24</v>
      </c>
      <c r="K65" t="str">
        <f t="shared" si="0"/>
        <v>Sabit</v>
      </c>
    </row>
    <row r="66" spans="1:11" x14ac:dyDescent="0.3">
      <c r="A66" s="9" t="s">
        <v>23</v>
      </c>
      <c r="B66" s="47" t="s">
        <v>130</v>
      </c>
      <c r="C66" s="8" t="s">
        <v>622</v>
      </c>
      <c r="D66" s="8" t="s">
        <v>623</v>
      </c>
      <c r="E66" s="8" t="s">
        <v>624</v>
      </c>
      <c r="F66" s="8"/>
      <c r="G66" s="8"/>
      <c r="H66" s="10">
        <v>3.1</v>
      </c>
      <c r="I66" s="54">
        <f>VLOOKUP(A66,İstasyonlar!$A$2:$D$776,4,0)</f>
        <v>999999999</v>
      </c>
      <c r="J66" s="54">
        <f t="shared" si="1"/>
        <v>24</v>
      </c>
      <c r="K66" t="str">
        <f t="shared" ref="K66:K129" si="2">IF(I66=1000000,"","Sabit")</f>
        <v>Sabit</v>
      </c>
    </row>
    <row r="67" spans="1:11" x14ac:dyDescent="0.3">
      <c r="A67" s="9" t="s">
        <v>18</v>
      </c>
      <c r="B67" s="47" t="s">
        <v>131</v>
      </c>
      <c r="C67" s="8" t="s">
        <v>620</v>
      </c>
      <c r="D67" s="8" t="s">
        <v>617</v>
      </c>
      <c r="E67" s="8"/>
      <c r="F67" s="8"/>
      <c r="G67" s="8"/>
      <c r="H67" s="10">
        <v>3.5</v>
      </c>
      <c r="I67" s="54">
        <f>VLOOKUP(A67,İstasyonlar!$A$2:$D$776,4,0)</f>
        <v>1000000</v>
      </c>
      <c r="J67" s="54">
        <f t="shared" ref="J67:J130" si="3">IF(A67=A66, J66, J66+1)</f>
        <v>25</v>
      </c>
      <c r="K67" t="str">
        <f t="shared" si="2"/>
        <v/>
      </c>
    </row>
    <row r="68" spans="1:11" x14ac:dyDescent="0.3">
      <c r="A68" s="9" t="s">
        <v>18</v>
      </c>
      <c r="B68" s="47" t="s">
        <v>132</v>
      </c>
      <c r="C68" s="8" t="s">
        <v>620</v>
      </c>
      <c r="D68" s="8" t="s">
        <v>617</v>
      </c>
      <c r="E68" s="8"/>
      <c r="F68" s="8"/>
      <c r="G68" s="8"/>
      <c r="H68" s="10">
        <v>4.5</v>
      </c>
      <c r="I68" s="54">
        <f>VLOOKUP(A68,İstasyonlar!$A$2:$D$776,4,0)</f>
        <v>1000000</v>
      </c>
      <c r="J68" s="54">
        <f t="shared" si="3"/>
        <v>25</v>
      </c>
      <c r="K68" t="str">
        <f t="shared" si="2"/>
        <v/>
      </c>
    </row>
    <row r="69" spans="1:11" x14ac:dyDescent="0.3">
      <c r="A69" s="9" t="s">
        <v>18</v>
      </c>
      <c r="B69" s="47" t="s">
        <v>133</v>
      </c>
      <c r="C69" s="8" t="s">
        <v>620</v>
      </c>
      <c r="D69" s="8" t="s">
        <v>617</v>
      </c>
      <c r="E69" s="8"/>
      <c r="F69" s="8"/>
      <c r="G69" s="8"/>
      <c r="H69" s="10">
        <v>4.2</v>
      </c>
      <c r="I69" s="54">
        <f>VLOOKUP(A69,İstasyonlar!$A$2:$D$776,4,0)</f>
        <v>1000000</v>
      </c>
      <c r="J69" s="54">
        <f t="shared" si="3"/>
        <v>25</v>
      </c>
      <c r="K69" t="str">
        <f t="shared" si="2"/>
        <v/>
      </c>
    </row>
    <row r="70" spans="1:11" x14ac:dyDescent="0.3">
      <c r="A70" s="9" t="s">
        <v>18</v>
      </c>
      <c r="B70" s="47" t="s">
        <v>134</v>
      </c>
      <c r="C70" s="8" t="s">
        <v>620</v>
      </c>
      <c r="D70" s="8" t="s">
        <v>617</v>
      </c>
      <c r="E70" s="8"/>
      <c r="F70" s="8"/>
      <c r="G70" s="8"/>
      <c r="H70" s="10">
        <v>2.8</v>
      </c>
      <c r="I70" s="54">
        <f>VLOOKUP(A70,İstasyonlar!$A$2:$D$776,4,0)</f>
        <v>1000000</v>
      </c>
      <c r="J70" s="54">
        <f t="shared" si="3"/>
        <v>25</v>
      </c>
      <c r="K70" t="str">
        <f t="shared" si="2"/>
        <v/>
      </c>
    </row>
    <row r="71" spans="1:11" x14ac:dyDescent="0.3">
      <c r="A71" s="9" t="s">
        <v>19</v>
      </c>
      <c r="B71" s="47" t="s">
        <v>135</v>
      </c>
      <c r="C71" s="8" t="s">
        <v>625</v>
      </c>
      <c r="D71" s="8" t="s">
        <v>620</v>
      </c>
      <c r="E71" s="8" t="s">
        <v>617</v>
      </c>
      <c r="F71" s="8"/>
      <c r="G71" s="8"/>
      <c r="H71" s="10">
        <v>3.5</v>
      </c>
      <c r="I71" s="54">
        <f>VLOOKUP(A71,İstasyonlar!$A$2:$D$776,4,0)</f>
        <v>1000000</v>
      </c>
      <c r="J71" s="54">
        <f t="shared" si="3"/>
        <v>26</v>
      </c>
      <c r="K71" t="str">
        <f t="shared" si="2"/>
        <v/>
      </c>
    </row>
    <row r="72" spans="1:11" x14ac:dyDescent="0.3">
      <c r="A72" s="9" t="s">
        <v>19</v>
      </c>
      <c r="B72" s="47" t="s">
        <v>136</v>
      </c>
      <c r="C72" s="8" t="s">
        <v>625</v>
      </c>
      <c r="D72" s="8" t="s">
        <v>620</v>
      </c>
      <c r="E72" s="8" t="s">
        <v>617</v>
      </c>
      <c r="F72" s="8"/>
      <c r="G72" s="8"/>
      <c r="H72" s="10">
        <v>3.8</v>
      </c>
      <c r="I72" s="54">
        <f>VLOOKUP(A72,İstasyonlar!$A$2:$D$776,4,0)</f>
        <v>1000000</v>
      </c>
      <c r="J72" s="54">
        <f t="shared" si="3"/>
        <v>26</v>
      </c>
      <c r="K72" t="str">
        <f t="shared" si="2"/>
        <v/>
      </c>
    </row>
    <row r="73" spans="1:11" x14ac:dyDescent="0.3">
      <c r="A73" s="9" t="s">
        <v>19</v>
      </c>
      <c r="B73" s="47" t="s">
        <v>137</v>
      </c>
      <c r="C73" s="8" t="s">
        <v>625</v>
      </c>
      <c r="D73" s="8" t="s">
        <v>620</v>
      </c>
      <c r="E73" s="8" t="s">
        <v>617</v>
      </c>
      <c r="F73" s="8"/>
      <c r="G73" s="8"/>
      <c r="H73" s="10">
        <v>4.8</v>
      </c>
      <c r="I73" s="54">
        <f>VLOOKUP(A73,İstasyonlar!$A$2:$D$776,4,0)</f>
        <v>1000000</v>
      </c>
      <c r="J73" s="54">
        <f t="shared" si="3"/>
        <v>26</v>
      </c>
      <c r="K73" t="str">
        <f t="shared" si="2"/>
        <v/>
      </c>
    </row>
    <row r="74" spans="1:11" x14ac:dyDescent="0.3">
      <c r="A74" s="9" t="s">
        <v>24</v>
      </c>
      <c r="B74" s="47" t="s">
        <v>138</v>
      </c>
      <c r="C74" s="8" t="s">
        <v>624</v>
      </c>
      <c r="D74" s="8"/>
      <c r="E74" s="8"/>
      <c r="F74" s="8"/>
      <c r="G74" s="8"/>
      <c r="H74" s="10">
        <v>3.1</v>
      </c>
      <c r="I74" s="54">
        <f>VLOOKUP(A74,İstasyonlar!$A$2:$D$776,4,0)</f>
        <v>1000000</v>
      </c>
      <c r="J74" s="54">
        <f t="shared" si="3"/>
        <v>27</v>
      </c>
      <c r="K74" t="str">
        <f t="shared" si="2"/>
        <v/>
      </c>
    </row>
    <row r="75" spans="1:11" x14ac:dyDescent="0.3">
      <c r="A75" s="9" t="s">
        <v>24</v>
      </c>
      <c r="B75" s="47" t="s">
        <v>139</v>
      </c>
      <c r="C75" s="8" t="s">
        <v>624</v>
      </c>
      <c r="D75" s="8"/>
      <c r="E75" s="8"/>
      <c r="F75" s="8"/>
      <c r="G75" s="8"/>
      <c r="H75" s="10">
        <v>3.5</v>
      </c>
      <c r="I75" s="54">
        <f>VLOOKUP(A75,İstasyonlar!$A$2:$D$776,4,0)</f>
        <v>1000000</v>
      </c>
      <c r="J75" s="54">
        <f t="shared" si="3"/>
        <v>27</v>
      </c>
      <c r="K75" t="str">
        <f t="shared" si="2"/>
        <v/>
      </c>
    </row>
    <row r="76" spans="1:11" x14ac:dyDescent="0.3">
      <c r="A76" s="9" t="s">
        <v>24</v>
      </c>
      <c r="B76" s="47" t="s">
        <v>140</v>
      </c>
      <c r="C76" s="8" t="s">
        <v>624</v>
      </c>
      <c r="D76" s="8"/>
      <c r="E76" s="8"/>
      <c r="F76" s="8"/>
      <c r="G76" s="8"/>
      <c r="H76" s="10">
        <v>3.1</v>
      </c>
      <c r="I76" s="54">
        <f>VLOOKUP(A76,İstasyonlar!$A$2:$D$776,4,0)</f>
        <v>1000000</v>
      </c>
      <c r="J76" s="54">
        <f t="shared" si="3"/>
        <v>27</v>
      </c>
      <c r="K76" t="str">
        <f t="shared" si="2"/>
        <v/>
      </c>
    </row>
    <row r="77" spans="1:11" x14ac:dyDescent="0.3">
      <c r="A77" s="9" t="s">
        <v>24</v>
      </c>
      <c r="B77" s="47" t="s">
        <v>369</v>
      </c>
      <c r="C77" s="8" t="s">
        <v>624</v>
      </c>
      <c r="D77" s="8"/>
      <c r="E77" s="8"/>
      <c r="F77" s="8"/>
      <c r="G77" s="8"/>
      <c r="H77" s="10">
        <v>3.1</v>
      </c>
      <c r="I77" s="54">
        <f>VLOOKUP(A77,İstasyonlar!$A$2:$D$776,4,0)</f>
        <v>1000000</v>
      </c>
      <c r="J77" s="54">
        <f t="shared" si="3"/>
        <v>27</v>
      </c>
      <c r="K77" t="str">
        <f t="shared" si="2"/>
        <v/>
      </c>
    </row>
    <row r="78" spans="1:11" x14ac:dyDescent="0.3">
      <c r="A78" s="9" t="s">
        <v>25</v>
      </c>
      <c r="B78" s="47" t="s">
        <v>142</v>
      </c>
      <c r="C78" s="8" t="s">
        <v>626</v>
      </c>
      <c r="D78" s="8"/>
      <c r="E78" s="8"/>
      <c r="F78" s="8"/>
      <c r="G78" s="8"/>
      <c r="H78" s="10">
        <v>6.2</v>
      </c>
      <c r="I78" s="54">
        <f>VLOOKUP(A78,İstasyonlar!$A$2:$D$776,4,0)</f>
        <v>1000000</v>
      </c>
      <c r="J78" s="54">
        <f t="shared" si="3"/>
        <v>28</v>
      </c>
      <c r="K78" t="str">
        <f t="shared" si="2"/>
        <v/>
      </c>
    </row>
    <row r="79" spans="1:11" x14ac:dyDescent="0.3">
      <c r="A79" s="9" t="s">
        <v>25</v>
      </c>
      <c r="B79" s="47" t="s">
        <v>145</v>
      </c>
      <c r="C79" s="8" t="s">
        <v>626</v>
      </c>
      <c r="D79" s="8"/>
      <c r="E79" s="8"/>
      <c r="F79" s="8"/>
      <c r="G79" s="8"/>
      <c r="H79" s="10">
        <v>2.5</v>
      </c>
      <c r="I79" s="54">
        <f>VLOOKUP(A79,İstasyonlar!$A$2:$D$776,4,0)</f>
        <v>1000000</v>
      </c>
      <c r="J79" s="54">
        <f t="shared" si="3"/>
        <v>28</v>
      </c>
      <c r="K79" t="str">
        <f t="shared" si="2"/>
        <v/>
      </c>
    </row>
    <row r="80" spans="1:11" x14ac:dyDescent="0.3">
      <c r="A80" s="9" t="s">
        <v>25</v>
      </c>
      <c r="B80" s="47" t="s">
        <v>144</v>
      </c>
      <c r="C80" s="8" t="s">
        <v>626</v>
      </c>
      <c r="D80" s="8"/>
      <c r="E80" s="8"/>
      <c r="F80" s="8"/>
      <c r="G80" s="8"/>
      <c r="H80" s="10">
        <v>2.5</v>
      </c>
      <c r="I80" s="54">
        <f>VLOOKUP(A80,İstasyonlar!$A$2:$D$776,4,0)</f>
        <v>1000000</v>
      </c>
      <c r="J80" s="54">
        <f t="shared" si="3"/>
        <v>28</v>
      </c>
      <c r="K80" t="str">
        <f t="shared" si="2"/>
        <v/>
      </c>
    </row>
    <row r="81" spans="1:11" x14ac:dyDescent="0.3">
      <c r="A81" s="9" t="s">
        <v>26</v>
      </c>
      <c r="B81" s="47" t="s">
        <v>146</v>
      </c>
      <c r="C81" s="8" t="s">
        <v>627</v>
      </c>
      <c r="D81" s="8" t="s">
        <v>628</v>
      </c>
      <c r="E81" s="8" t="s">
        <v>626</v>
      </c>
      <c r="F81" s="8"/>
      <c r="G81" s="8"/>
      <c r="H81" s="10">
        <v>1</v>
      </c>
      <c r="I81" s="54">
        <f>VLOOKUP(A81,İstasyonlar!$A$2:$D$776,4,0)</f>
        <v>1000000</v>
      </c>
      <c r="J81" s="54">
        <f t="shared" si="3"/>
        <v>29</v>
      </c>
      <c r="K81" t="str">
        <f t="shared" si="2"/>
        <v/>
      </c>
    </row>
    <row r="82" spans="1:11" x14ac:dyDescent="0.3">
      <c r="A82" s="9" t="s">
        <v>26</v>
      </c>
      <c r="B82" s="47" t="s">
        <v>147</v>
      </c>
      <c r="C82" s="8" t="s">
        <v>627</v>
      </c>
      <c r="D82" s="8" t="s">
        <v>628</v>
      </c>
      <c r="E82" s="8" t="s">
        <v>626</v>
      </c>
      <c r="F82" s="8"/>
      <c r="G82" s="8"/>
      <c r="H82" s="10">
        <v>2.4</v>
      </c>
      <c r="I82" s="54">
        <f>VLOOKUP(A82,İstasyonlar!$A$2:$D$776,4,0)</f>
        <v>1000000</v>
      </c>
      <c r="J82" s="54">
        <f t="shared" si="3"/>
        <v>29</v>
      </c>
      <c r="K82" t="str">
        <f t="shared" si="2"/>
        <v/>
      </c>
    </row>
    <row r="83" spans="1:11" x14ac:dyDescent="0.3">
      <c r="A83" s="9" t="s">
        <v>26</v>
      </c>
      <c r="B83" s="47" t="s">
        <v>148</v>
      </c>
      <c r="C83" s="8" t="s">
        <v>627</v>
      </c>
      <c r="D83" s="8" t="s">
        <v>628</v>
      </c>
      <c r="E83" s="8" t="s">
        <v>626</v>
      </c>
      <c r="F83" s="8"/>
      <c r="G83" s="8"/>
      <c r="H83" s="10">
        <v>4.0999999999999996</v>
      </c>
      <c r="I83" s="54">
        <f>VLOOKUP(A83,İstasyonlar!$A$2:$D$776,4,0)</f>
        <v>1000000</v>
      </c>
      <c r="J83" s="54">
        <f t="shared" si="3"/>
        <v>29</v>
      </c>
      <c r="K83" t="str">
        <f t="shared" si="2"/>
        <v/>
      </c>
    </row>
    <row r="84" spans="1:11" x14ac:dyDescent="0.3">
      <c r="A84" s="9" t="s">
        <v>26</v>
      </c>
      <c r="B84" s="47" t="s">
        <v>149</v>
      </c>
      <c r="C84" s="8" t="s">
        <v>627</v>
      </c>
      <c r="D84" s="8" t="s">
        <v>628</v>
      </c>
      <c r="E84" s="8" t="s">
        <v>626</v>
      </c>
      <c r="F84" s="8"/>
      <c r="G84" s="8"/>
      <c r="H84" s="10">
        <v>3.8</v>
      </c>
      <c r="I84" s="54">
        <f>VLOOKUP(A84,İstasyonlar!$A$2:$D$776,4,0)</f>
        <v>1000000</v>
      </c>
      <c r="J84" s="54">
        <f t="shared" si="3"/>
        <v>29</v>
      </c>
      <c r="K84" t="str">
        <f t="shared" si="2"/>
        <v/>
      </c>
    </row>
    <row r="85" spans="1:11" x14ac:dyDescent="0.3">
      <c r="A85" s="9" t="s">
        <v>27</v>
      </c>
      <c r="B85" s="47" t="s">
        <v>150</v>
      </c>
      <c r="C85" s="8" t="s">
        <v>628</v>
      </c>
      <c r="D85" s="8" t="s">
        <v>627</v>
      </c>
      <c r="E85" s="8" t="s">
        <v>623</v>
      </c>
      <c r="F85" s="8" t="s">
        <v>626</v>
      </c>
      <c r="G85" s="8"/>
      <c r="H85" s="10">
        <v>12.5</v>
      </c>
      <c r="I85" s="54">
        <f>VLOOKUP(A85,İstasyonlar!$A$2:$D$776,4,0)</f>
        <v>1000000</v>
      </c>
      <c r="J85" s="54">
        <f t="shared" si="3"/>
        <v>30</v>
      </c>
      <c r="K85" t="str">
        <f t="shared" si="2"/>
        <v/>
      </c>
    </row>
    <row r="86" spans="1:11" x14ac:dyDescent="0.3">
      <c r="A86" s="9" t="s">
        <v>27</v>
      </c>
      <c r="B86" s="47" t="s">
        <v>151</v>
      </c>
      <c r="C86" s="8" t="s">
        <v>628</v>
      </c>
      <c r="D86" s="8" t="s">
        <v>627</v>
      </c>
      <c r="E86" s="8" t="s">
        <v>623</v>
      </c>
      <c r="F86" s="8" t="s">
        <v>626</v>
      </c>
      <c r="G86" s="8"/>
      <c r="H86" s="10">
        <v>6.1</v>
      </c>
      <c r="I86" s="54">
        <f>VLOOKUP(A86,İstasyonlar!$A$2:$D$776,4,0)</f>
        <v>1000000</v>
      </c>
      <c r="J86" s="54">
        <f t="shared" si="3"/>
        <v>30</v>
      </c>
      <c r="K86" t="str">
        <f t="shared" si="2"/>
        <v/>
      </c>
    </row>
    <row r="87" spans="1:11" x14ac:dyDescent="0.3">
      <c r="A87" s="9" t="s">
        <v>28</v>
      </c>
      <c r="B87" s="47" t="s">
        <v>152</v>
      </c>
      <c r="C87" s="8" t="s">
        <v>630</v>
      </c>
      <c r="D87" s="8"/>
      <c r="E87" s="8"/>
      <c r="F87" s="8"/>
      <c r="G87" s="8"/>
      <c r="H87" s="10">
        <v>4.5</v>
      </c>
      <c r="I87" s="54">
        <f>VLOOKUP(A87,İstasyonlar!$A$2:$D$776,4,0)</f>
        <v>1000000</v>
      </c>
      <c r="J87" s="54">
        <f t="shared" si="3"/>
        <v>31</v>
      </c>
      <c r="K87" t="str">
        <f t="shared" si="2"/>
        <v/>
      </c>
    </row>
    <row r="88" spans="1:11" x14ac:dyDescent="0.3">
      <c r="A88" s="9" t="s">
        <v>28</v>
      </c>
      <c r="B88" s="47" t="s">
        <v>153</v>
      </c>
      <c r="C88" s="8" t="s">
        <v>630</v>
      </c>
      <c r="D88" s="8"/>
      <c r="E88" s="8"/>
      <c r="F88" s="8"/>
      <c r="G88" s="8"/>
      <c r="H88" s="10">
        <v>3.5</v>
      </c>
      <c r="I88" s="54">
        <f>VLOOKUP(A88,İstasyonlar!$A$2:$D$776,4,0)</f>
        <v>1000000</v>
      </c>
      <c r="J88" s="54">
        <f t="shared" si="3"/>
        <v>31</v>
      </c>
      <c r="K88" t="str">
        <f t="shared" si="2"/>
        <v/>
      </c>
    </row>
    <row r="89" spans="1:11" x14ac:dyDescent="0.3">
      <c r="A89" s="9" t="s">
        <v>28</v>
      </c>
      <c r="B89" s="47" t="s">
        <v>154</v>
      </c>
      <c r="C89" s="8" t="s">
        <v>630</v>
      </c>
      <c r="D89" s="8"/>
      <c r="E89" s="8"/>
      <c r="F89" s="8"/>
      <c r="G89" s="8"/>
      <c r="H89" s="10">
        <v>3.1</v>
      </c>
      <c r="I89" s="54">
        <f>VLOOKUP(A89,İstasyonlar!$A$2:$D$776,4,0)</f>
        <v>1000000</v>
      </c>
      <c r="J89" s="54">
        <f t="shared" si="3"/>
        <v>31</v>
      </c>
      <c r="K89" t="str">
        <f t="shared" si="2"/>
        <v/>
      </c>
    </row>
    <row r="90" spans="1:11" x14ac:dyDescent="0.3">
      <c r="A90" s="9" t="s">
        <v>28</v>
      </c>
      <c r="B90" s="47" t="s">
        <v>155</v>
      </c>
      <c r="C90" s="8" t="s">
        <v>630</v>
      </c>
      <c r="D90" s="8"/>
      <c r="E90" s="8"/>
      <c r="F90" s="8"/>
      <c r="G90" s="8"/>
      <c r="H90" s="10">
        <v>3.1</v>
      </c>
      <c r="I90" s="54">
        <f>VLOOKUP(A90,İstasyonlar!$A$2:$D$776,4,0)</f>
        <v>1000000</v>
      </c>
      <c r="J90" s="54">
        <f t="shared" si="3"/>
        <v>31</v>
      </c>
      <c r="K90" t="str">
        <f t="shared" si="2"/>
        <v/>
      </c>
    </row>
    <row r="91" spans="1:11" x14ac:dyDescent="0.3">
      <c r="A91" s="9" t="s">
        <v>29</v>
      </c>
      <c r="B91" s="47" t="s">
        <v>156</v>
      </c>
      <c r="C91" s="8" t="s">
        <v>623</v>
      </c>
      <c r="D91" s="8" t="s">
        <v>626</v>
      </c>
      <c r="E91" s="8"/>
      <c r="F91" s="8"/>
      <c r="G91" s="8"/>
      <c r="H91" s="10">
        <v>9.1999999999999993</v>
      </c>
      <c r="I91" s="54">
        <f>VLOOKUP(A91,İstasyonlar!$A$2:$D$776,4,0)</f>
        <v>1000000</v>
      </c>
      <c r="J91" s="54">
        <f t="shared" si="3"/>
        <v>32</v>
      </c>
      <c r="K91" t="str">
        <f t="shared" si="2"/>
        <v/>
      </c>
    </row>
    <row r="92" spans="1:11" x14ac:dyDescent="0.3">
      <c r="A92" s="9" t="s">
        <v>29</v>
      </c>
      <c r="B92" s="47" t="s">
        <v>157</v>
      </c>
      <c r="C92" s="8" t="s">
        <v>623</v>
      </c>
      <c r="D92" s="8" t="s">
        <v>626</v>
      </c>
      <c r="E92" s="8"/>
      <c r="F92" s="8"/>
      <c r="G92" s="8"/>
      <c r="H92" s="10">
        <v>0.6</v>
      </c>
      <c r="I92" s="54">
        <f>VLOOKUP(A92,İstasyonlar!$A$2:$D$776,4,0)</f>
        <v>1000000</v>
      </c>
      <c r="J92" s="54">
        <f t="shared" si="3"/>
        <v>32</v>
      </c>
      <c r="K92" t="str">
        <f t="shared" si="2"/>
        <v/>
      </c>
    </row>
    <row r="93" spans="1:11" x14ac:dyDescent="0.3">
      <c r="A93" s="9" t="s">
        <v>29</v>
      </c>
      <c r="B93" s="47" t="s">
        <v>375</v>
      </c>
      <c r="C93" s="8" t="s">
        <v>623</v>
      </c>
      <c r="D93" s="8" t="s">
        <v>626</v>
      </c>
      <c r="E93" s="8"/>
      <c r="F93" s="8"/>
      <c r="G93" s="8"/>
      <c r="H93" s="10">
        <v>3.1</v>
      </c>
      <c r="I93" s="54">
        <f>VLOOKUP(A93,İstasyonlar!$A$2:$D$776,4,0)</f>
        <v>1000000</v>
      </c>
      <c r="J93" s="54">
        <f t="shared" si="3"/>
        <v>32</v>
      </c>
      <c r="K93" t="str">
        <f t="shared" si="2"/>
        <v/>
      </c>
    </row>
    <row r="94" spans="1:11" x14ac:dyDescent="0.3">
      <c r="A94" s="9" t="s">
        <v>29</v>
      </c>
      <c r="B94" s="47" t="s">
        <v>158</v>
      </c>
      <c r="C94" s="8" t="s">
        <v>623</v>
      </c>
      <c r="D94" s="8" t="s">
        <v>626</v>
      </c>
      <c r="E94" s="8"/>
      <c r="F94" s="8"/>
      <c r="G94" s="8"/>
      <c r="H94" s="10">
        <v>2.8</v>
      </c>
      <c r="I94" s="54">
        <f>VLOOKUP(A94,İstasyonlar!$A$2:$D$776,4,0)</f>
        <v>1000000</v>
      </c>
      <c r="J94" s="54">
        <f t="shared" si="3"/>
        <v>32</v>
      </c>
      <c r="K94" t="str">
        <f t="shared" si="2"/>
        <v/>
      </c>
    </row>
    <row r="95" spans="1:11" x14ac:dyDescent="0.3">
      <c r="A95" s="9" t="s">
        <v>57</v>
      </c>
      <c r="B95" s="47" t="s">
        <v>159</v>
      </c>
      <c r="C95" s="8" t="s">
        <v>631</v>
      </c>
      <c r="D95" s="8"/>
      <c r="E95" s="8"/>
      <c r="F95" s="8"/>
      <c r="G95" s="8"/>
      <c r="H95" s="10">
        <v>5.5</v>
      </c>
      <c r="I95" s="54">
        <f>VLOOKUP(A95,İstasyonlar!$A$2:$D$776,4,0)</f>
        <v>1000000</v>
      </c>
      <c r="J95" s="54">
        <f t="shared" si="3"/>
        <v>33</v>
      </c>
      <c r="K95" t="str">
        <f t="shared" si="2"/>
        <v/>
      </c>
    </row>
    <row r="96" spans="1:11" x14ac:dyDescent="0.3">
      <c r="A96" s="9" t="s">
        <v>57</v>
      </c>
      <c r="B96" s="47" t="s">
        <v>160</v>
      </c>
      <c r="C96" s="8" t="s">
        <v>631</v>
      </c>
      <c r="D96" s="8"/>
      <c r="E96" s="8"/>
      <c r="F96" s="8"/>
      <c r="G96" s="8"/>
      <c r="H96" s="10">
        <v>3.1</v>
      </c>
      <c r="I96" s="54">
        <f>VLOOKUP(A96,İstasyonlar!$A$2:$D$776,4,0)</f>
        <v>1000000</v>
      </c>
      <c r="J96" s="54">
        <f t="shared" si="3"/>
        <v>33</v>
      </c>
      <c r="K96" t="str">
        <f t="shared" si="2"/>
        <v/>
      </c>
    </row>
    <row r="97" spans="1:11" x14ac:dyDescent="0.3">
      <c r="A97" s="9" t="s">
        <v>57</v>
      </c>
      <c r="B97" s="47" t="s">
        <v>161</v>
      </c>
      <c r="C97" s="8" t="s">
        <v>631</v>
      </c>
      <c r="D97" s="8"/>
      <c r="E97" s="8"/>
      <c r="F97" s="8"/>
      <c r="G97" s="8"/>
      <c r="H97" s="10">
        <v>3.1</v>
      </c>
      <c r="I97" s="54">
        <f>VLOOKUP(A97,İstasyonlar!$A$2:$D$776,4,0)</f>
        <v>1000000</v>
      </c>
      <c r="J97" s="54">
        <f t="shared" si="3"/>
        <v>33</v>
      </c>
      <c r="K97" t="str">
        <f t="shared" si="2"/>
        <v/>
      </c>
    </row>
    <row r="98" spans="1:11" x14ac:dyDescent="0.3">
      <c r="A98" s="9" t="s">
        <v>57</v>
      </c>
      <c r="B98" s="47" t="s">
        <v>162</v>
      </c>
      <c r="C98" s="8" t="s">
        <v>631</v>
      </c>
      <c r="D98" s="8"/>
      <c r="E98" s="8"/>
      <c r="F98" s="8"/>
      <c r="G98" s="8"/>
      <c r="H98" s="10">
        <v>2.5</v>
      </c>
      <c r="I98" s="54">
        <f>VLOOKUP(A98,İstasyonlar!$A$2:$D$776,4,0)</f>
        <v>1000000</v>
      </c>
      <c r="J98" s="54">
        <f t="shared" si="3"/>
        <v>33</v>
      </c>
      <c r="K98" t="str">
        <f t="shared" si="2"/>
        <v/>
      </c>
    </row>
    <row r="99" spans="1:11" x14ac:dyDescent="0.3">
      <c r="A99" s="9" t="s">
        <v>32</v>
      </c>
      <c r="B99" s="47" t="s">
        <v>163</v>
      </c>
      <c r="C99" s="8" t="s">
        <v>632</v>
      </c>
      <c r="D99" s="8" t="s">
        <v>631</v>
      </c>
      <c r="E99" s="8"/>
      <c r="F99" s="8"/>
      <c r="G99" s="8"/>
      <c r="H99" s="10">
        <v>0.5</v>
      </c>
      <c r="I99" s="54">
        <f>VLOOKUP(A99,İstasyonlar!$A$2:$D$776,4,0)</f>
        <v>1000000</v>
      </c>
      <c r="J99" s="54">
        <f t="shared" si="3"/>
        <v>34</v>
      </c>
      <c r="K99" t="str">
        <f t="shared" si="2"/>
        <v/>
      </c>
    </row>
    <row r="100" spans="1:11" x14ac:dyDescent="0.3">
      <c r="A100" s="9" t="s">
        <v>32</v>
      </c>
      <c r="B100" s="47" t="s">
        <v>164</v>
      </c>
      <c r="C100" s="8" t="s">
        <v>632</v>
      </c>
      <c r="D100" s="8" t="s">
        <v>631</v>
      </c>
      <c r="E100" s="8"/>
      <c r="F100" s="8"/>
      <c r="G100" s="8"/>
      <c r="H100" s="10">
        <v>5.8</v>
      </c>
      <c r="I100" s="54">
        <f>VLOOKUP(A100,İstasyonlar!$A$2:$D$776,4,0)</f>
        <v>1000000</v>
      </c>
      <c r="J100" s="54">
        <f t="shared" si="3"/>
        <v>34</v>
      </c>
      <c r="K100" t="str">
        <f t="shared" si="2"/>
        <v/>
      </c>
    </row>
    <row r="101" spans="1:11" x14ac:dyDescent="0.3">
      <c r="A101" s="9" t="s">
        <v>32</v>
      </c>
      <c r="B101" s="47" t="s">
        <v>165</v>
      </c>
      <c r="C101" s="8" t="s">
        <v>632</v>
      </c>
      <c r="D101" s="8" t="s">
        <v>631</v>
      </c>
      <c r="E101" s="8"/>
      <c r="F101" s="8"/>
      <c r="G101" s="8"/>
      <c r="H101" s="10">
        <v>5.0999999999999996</v>
      </c>
      <c r="I101" s="54">
        <f>VLOOKUP(A101,İstasyonlar!$A$2:$D$776,4,0)</f>
        <v>1000000</v>
      </c>
      <c r="J101" s="54">
        <f t="shared" si="3"/>
        <v>34</v>
      </c>
      <c r="K101" t="str">
        <f t="shared" si="2"/>
        <v/>
      </c>
    </row>
    <row r="102" spans="1:11" x14ac:dyDescent="0.3">
      <c r="A102" s="9" t="s">
        <v>32</v>
      </c>
      <c r="B102" s="47" t="s">
        <v>166</v>
      </c>
      <c r="C102" s="8" t="s">
        <v>632</v>
      </c>
      <c r="D102" s="8" t="s">
        <v>631</v>
      </c>
      <c r="E102" s="8"/>
      <c r="F102" s="8"/>
      <c r="G102" s="8"/>
      <c r="H102" s="10">
        <v>6.8</v>
      </c>
      <c r="I102" s="54">
        <f>VLOOKUP(A102,İstasyonlar!$A$2:$D$776,4,0)</f>
        <v>1000000</v>
      </c>
      <c r="J102" s="54">
        <f t="shared" si="3"/>
        <v>34</v>
      </c>
      <c r="K102" t="str">
        <f t="shared" si="2"/>
        <v/>
      </c>
    </row>
    <row r="103" spans="1:11" x14ac:dyDescent="0.3">
      <c r="A103" s="9" t="s">
        <v>32</v>
      </c>
      <c r="B103" s="47" t="s">
        <v>167</v>
      </c>
      <c r="C103" s="8" t="s">
        <v>632</v>
      </c>
      <c r="D103" s="8" t="s">
        <v>631</v>
      </c>
      <c r="E103" s="8"/>
      <c r="F103" s="8"/>
      <c r="G103" s="8"/>
      <c r="H103" s="10">
        <v>0.5</v>
      </c>
      <c r="I103" s="54">
        <f>VLOOKUP(A103,İstasyonlar!$A$2:$D$776,4,0)</f>
        <v>1000000</v>
      </c>
      <c r="J103" s="54">
        <f t="shared" si="3"/>
        <v>34</v>
      </c>
      <c r="K103" t="str">
        <f t="shared" si="2"/>
        <v/>
      </c>
    </row>
    <row r="104" spans="1:11" x14ac:dyDescent="0.3">
      <c r="A104" s="9" t="s">
        <v>377</v>
      </c>
      <c r="B104" s="47" t="s">
        <v>378</v>
      </c>
      <c r="C104" s="8" t="s">
        <v>633</v>
      </c>
      <c r="D104" s="8"/>
      <c r="E104" s="8"/>
      <c r="F104" s="8"/>
      <c r="G104" s="8"/>
      <c r="H104" s="10">
        <v>6.1</v>
      </c>
      <c r="I104" s="54">
        <f>VLOOKUP(A104,İstasyonlar!$A$2:$D$776,4,0)</f>
        <v>1000000</v>
      </c>
      <c r="J104" s="54">
        <f t="shared" si="3"/>
        <v>35</v>
      </c>
      <c r="K104" t="str">
        <f t="shared" si="2"/>
        <v/>
      </c>
    </row>
    <row r="105" spans="1:11" x14ac:dyDescent="0.3">
      <c r="A105" s="9" t="s">
        <v>377</v>
      </c>
      <c r="B105" s="47" t="s">
        <v>379</v>
      </c>
      <c r="C105" s="8" t="s">
        <v>633</v>
      </c>
      <c r="D105" s="8"/>
      <c r="E105" s="8"/>
      <c r="F105" s="8"/>
      <c r="G105" s="8"/>
      <c r="H105" s="10">
        <v>5.8</v>
      </c>
      <c r="I105" s="54">
        <f>VLOOKUP(A105,İstasyonlar!$A$2:$D$776,4,0)</f>
        <v>1000000</v>
      </c>
      <c r="J105" s="54">
        <f t="shared" si="3"/>
        <v>35</v>
      </c>
      <c r="K105" t="str">
        <f t="shared" si="2"/>
        <v/>
      </c>
    </row>
    <row r="106" spans="1:11" x14ac:dyDescent="0.3">
      <c r="A106" s="9" t="s">
        <v>33</v>
      </c>
      <c r="B106" s="47" t="s">
        <v>168</v>
      </c>
      <c r="C106" s="8" t="s">
        <v>635</v>
      </c>
      <c r="D106" s="8"/>
      <c r="E106" s="8"/>
      <c r="F106" s="8"/>
      <c r="G106" s="8"/>
      <c r="H106" s="10">
        <v>3.1</v>
      </c>
      <c r="I106" s="54">
        <f>VLOOKUP(A106,İstasyonlar!$A$2:$D$776,4,0)</f>
        <v>1000000</v>
      </c>
      <c r="J106" s="54">
        <f t="shared" si="3"/>
        <v>36</v>
      </c>
      <c r="K106" t="str">
        <f t="shared" si="2"/>
        <v/>
      </c>
    </row>
    <row r="107" spans="1:11" x14ac:dyDescent="0.3">
      <c r="A107" s="9" t="s">
        <v>33</v>
      </c>
      <c r="B107" s="47" t="s">
        <v>169</v>
      </c>
      <c r="C107" s="8" t="s">
        <v>635</v>
      </c>
      <c r="D107" s="8"/>
      <c r="E107" s="8"/>
      <c r="F107" s="8"/>
      <c r="G107" s="8"/>
      <c r="H107" s="10">
        <v>4.9000000000000004</v>
      </c>
      <c r="I107" s="54">
        <f>VLOOKUP(A107,İstasyonlar!$A$2:$D$776,4,0)</f>
        <v>1000000</v>
      </c>
      <c r="J107" s="54">
        <f t="shared" si="3"/>
        <v>36</v>
      </c>
      <c r="K107" t="str">
        <f t="shared" si="2"/>
        <v/>
      </c>
    </row>
    <row r="108" spans="1:11" x14ac:dyDescent="0.3">
      <c r="A108" s="9" t="s">
        <v>33</v>
      </c>
      <c r="B108" s="47" t="s">
        <v>381</v>
      </c>
      <c r="C108" s="8" t="s">
        <v>635</v>
      </c>
      <c r="D108" s="8"/>
      <c r="E108" s="8"/>
      <c r="F108" s="8"/>
      <c r="G108" s="8"/>
      <c r="H108" s="10">
        <v>5.6</v>
      </c>
      <c r="I108" s="54">
        <f>VLOOKUP(A108,İstasyonlar!$A$2:$D$776,4,0)</f>
        <v>1000000</v>
      </c>
      <c r="J108" s="54">
        <f t="shared" si="3"/>
        <v>36</v>
      </c>
      <c r="K108" t="str">
        <f t="shared" si="2"/>
        <v/>
      </c>
    </row>
    <row r="109" spans="1:11" x14ac:dyDescent="0.3">
      <c r="A109" s="9" t="s">
        <v>284</v>
      </c>
      <c r="B109" s="47" t="s">
        <v>294</v>
      </c>
      <c r="C109" s="8" t="s">
        <v>636</v>
      </c>
      <c r="D109" s="8"/>
      <c r="E109" s="8"/>
      <c r="F109" s="8"/>
      <c r="G109" s="8"/>
      <c r="H109" s="10">
        <v>4.0999999999999996</v>
      </c>
      <c r="I109" s="54">
        <f>VLOOKUP(A109,İstasyonlar!$A$2:$D$776,4,0)</f>
        <v>1000000</v>
      </c>
      <c r="J109" s="54">
        <f t="shared" si="3"/>
        <v>37</v>
      </c>
      <c r="K109" t="str">
        <f t="shared" si="2"/>
        <v/>
      </c>
    </row>
    <row r="110" spans="1:11" x14ac:dyDescent="0.3">
      <c r="A110" s="9" t="s">
        <v>284</v>
      </c>
      <c r="B110" s="47" t="s">
        <v>295</v>
      </c>
      <c r="C110" s="8" t="s">
        <v>636</v>
      </c>
      <c r="D110" s="8"/>
      <c r="E110" s="8"/>
      <c r="F110" s="8"/>
      <c r="G110" s="8"/>
      <c r="H110" s="10">
        <v>3.8</v>
      </c>
      <c r="I110" s="54">
        <f>VLOOKUP(A110,İstasyonlar!$A$2:$D$776,4,0)</f>
        <v>1000000</v>
      </c>
      <c r="J110" s="54">
        <f t="shared" si="3"/>
        <v>37</v>
      </c>
      <c r="K110" t="str">
        <f t="shared" si="2"/>
        <v/>
      </c>
    </row>
    <row r="111" spans="1:11" x14ac:dyDescent="0.3">
      <c r="A111" s="9" t="s">
        <v>284</v>
      </c>
      <c r="B111" s="47" t="s">
        <v>296</v>
      </c>
      <c r="C111" s="8" t="s">
        <v>636</v>
      </c>
      <c r="D111" s="8"/>
      <c r="E111" s="8"/>
      <c r="F111" s="8"/>
      <c r="G111" s="8"/>
      <c r="H111" s="10">
        <v>3.1</v>
      </c>
      <c r="I111" s="54">
        <f>VLOOKUP(A111,İstasyonlar!$A$2:$D$776,4,0)</f>
        <v>1000000</v>
      </c>
      <c r="J111" s="54">
        <f t="shared" si="3"/>
        <v>37</v>
      </c>
      <c r="K111" t="str">
        <f t="shared" si="2"/>
        <v/>
      </c>
    </row>
    <row r="112" spans="1:11" x14ac:dyDescent="0.3">
      <c r="A112" s="9" t="s">
        <v>34</v>
      </c>
      <c r="B112" s="47" t="s">
        <v>171</v>
      </c>
      <c r="C112" s="8" t="s">
        <v>637</v>
      </c>
      <c r="D112" s="8" t="s">
        <v>632</v>
      </c>
      <c r="E112" s="8"/>
      <c r="F112" s="8"/>
      <c r="G112" s="8"/>
      <c r="H112" s="10">
        <v>0.5</v>
      </c>
      <c r="I112" s="54">
        <f>VLOOKUP(A112,İstasyonlar!$A$2:$D$776,4,0)</f>
        <v>1000000</v>
      </c>
      <c r="J112" s="54">
        <f t="shared" si="3"/>
        <v>38</v>
      </c>
      <c r="K112" t="str">
        <f t="shared" si="2"/>
        <v/>
      </c>
    </row>
    <row r="113" spans="1:11" x14ac:dyDescent="0.3">
      <c r="A113" s="9" t="s">
        <v>34</v>
      </c>
      <c r="B113" s="47" t="s">
        <v>172</v>
      </c>
      <c r="C113" s="8" t="s">
        <v>637</v>
      </c>
      <c r="D113" s="8" t="s">
        <v>632</v>
      </c>
      <c r="E113" s="8"/>
      <c r="F113" s="8"/>
      <c r="G113" s="8"/>
      <c r="H113" s="10">
        <v>6.9</v>
      </c>
      <c r="I113" s="54">
        <f>VLOOKUP(A113,İstasyonlar!$A$2:$D$776,4,0)</f>
        <v>1000000</v>
      </c>
      <c r="J113" s="54">
        <f t="shared" si="3"/>
        <v>38</v>
      </c>
      <c r="K113" t="str">
        <f t="shared" si="2"/>
        <v/>
      </c>
    </row>
    <row r="114" spans="1:11" x14ac:dyDescent="0.3">
      <c r="A114" s="9" t="s">
        <v>34</v>
      </c>
      <c r="B114" s="47" t="s">
        <v>173</v>
      </c>
      <c r="C114" s="8" t="s">
        <v>637</v>
      </c>
      <c r="D114" s="8" t="s">
        <v>632</v>
      </c>
      <c r="E114" s="8"/>
      <c r="F114" s="8"/>
      <c r="G114" s="8"/>
      <c r="H114" s="10">
        <v>5.4</v>
      </c>
      <c r="I114" s="54">
        <f>VLOOKUP(A114,İstasyonlar!$A$2:$D$776,4,0)</f>
        <v>1000000</v>
      </c>
      <c r="J114" s="54">
        <f t="shared" si="3"/>
        <v>38</v>
      </c>
      <c r="K114" t="str">
        <f t="shared" si="2"/>
        <v/>
      </c>
    </row>
    <row r="115" spans="1:11" x14ac:dyDescent="0.3">
      <c r="A115" s="9" t="s">
        <v>34</v>
      </c>
      <c r="B115" s="47" t="s">
        <v>174</v>
      </c>
      <c r="C115" s="8" t="s">
        <v>637</v>
      </c>
      <c r="D115" s="8" t="s">
        <v>632</v>
      </c>
      <c r="E115" s="8"/>
      <c r="F115" s="8"/>
      <c r="G115" s="8"/>
      <c r="H115" s="10">
        <v>6.1</v>
      </c>
      <c r="I115" s="54">
        <f>VLOOKUP(A115,İstasyonlar!$A$2:$D$776,4,0)</f>
        <v>1000000</v>
      </c>
      <c r="J115" s="54">
        <f t="shared" si="3"/>
        <v>38</v>
      </c>
      <c r="K115" t="str">
        <f t="shared" si="2"/>
        <v/>
      </c>
    </row>
    <row r="116" spans="1:11" x14ac:dyDescent="0.3">
      <c r="A116" s="9" t="s">
        <v>34</v>
      </c>
      <c r="B116" s="47" t="s">
        <v>175</v>
      </c>
      <c r="C116" s="8" t="s">
        <v>637</v>
      </c>
      <c r="D116" s="8" t="s">
        <v>632</v>
      </c>
      <c r="E116" s="8"/>
      <c r="F116" s="8"/>
      <c r="G116" s="8"/>
      <c r="H116" s="10">
        <v>0.5</v>
      </c>
      <c r="I116" s="54">
        <f>VLOOKUP(A116,İstasyonlar!$A$2:$D$776,4,0)</f>
        <v>1000000</v>
      </c>
      <c r="J116" s="54">
        <f t="shared" si="3"/>
        <v>38</v>
      </c>
      <c r="K116" t="str">
        <f t="shared" si="2"/>
        <v/>
      </c>
    </row>
    <row r="117" spans="1:11" x14ac:dyDescent="0.3">
      <c r="A117" s="9" t="s">
        <v>382</v>
      </c>
      <c r="B117" s="47" t="s">
        <v>471</v>
      </c>
      <c r="C117" s="8" t="s">
        <v>639</v>
      </c>
      <c r="D117" s="8" t="s">
        <v>640</v>
      </c>
      <c r="E117" s="8"/>
      <c r="F117" s="8"/>
      <c r="G117" s="8"/>
      <c r="H117" s="10">
        <v>11.3</v>
      </c>
      <c r="I117" s="54">
        <f>VLOOKUP(A117,İstasyonlar!$A$2:$D$776,4,0)</f>
        <v>999999999</v>
      </c>
      <c r="J117" s="54">
        <f t="shared" si="3"/>
        <v>39</v>
      </c>
      <c r="K117" t="str">
        <f t="shared" si="2"/>
        <v>Sabit</v>
      </c>
    </row>
    <row r="118" spans="1:11" x14ac:dyDescent="0.3">
      <c r="A118" s="9" t="s">
        <v>382</v>
      </c>
      <c r="B118" s="47" t="s">
        <v>472</v>
      </c>
      <c r="C118" s="8" t="s">
        <v>639</v>
      </c>
      <c r="D118" s="8" t="s">
        <v>640</v>
      </c>
      <c r="E118" s="8"/>
      <c r="F118" s="8"/>
      <c r="G118" s="8"/>
      <c r="H118" s="10">
        <v>4.9000000000000004</v>
      </c>
      <c r="I118" s="54">
        <f>VLOOKUP(A118,İstasyonlar!$A$2:$D$776,4,0)</f>
        <v>999999999</v>
      </c>
      <c r="J118" s="54">
        <f t="shared" si="3"/>
        <v>39</v>
      </c>
      <c r="K118" t="str">
        <f t="shared" si="2"/>
        <v>Sabit</v>
      </c>
    </row>
    <row r="119" spans="1:11" x14ac:dyDescent="0.3">
      <c r="A119" s="9" t="s">
        <v>382</v>
      </c>
      <c r="B119" s="47" t="s">
        <v>473</v>
      </c>
      <c r="C119" s="8" t="s">
        <v>639</v>
      </c>
      <c r="D119" s="8" t="s">
        <v>640</v>
      </c>
      <c r="E119" s="8"/>
      <c r="F119" s="8"/>
      <c r="G119" s="8"/>
      <c r="H119" s="10">
        <v>2.1</v>
      </c>
      <c r="I119" s="54">
        <f>VLOOKUP(A119,İstasyonlar!$A$2:$D$776,4,0)</f>
        <v>999999999</v>
      </c>
      <c r="J119" s="54">
        <f t="shared" si="3"/>
        <v>39</v>
      </c>
      <c r="K119" t="str">
        <f t="shared" si="2"/>
        <v>Sabit</v>
      </c>
    </row>
    <row r="120" spans="1:11" x14ac:dyDescent="0.3">
      <c r="A120" s="9" t="s">
        <v>382</v>
      </c>
      <c r="B120" s="47" t="s">
        <v>474</v>
      </c>
      <c r="C120" s="8" t="s">
        <v>639</v>
      </c>
      <c r="D120" s="8" t="s">
        <v>640</v>
      </c>
      <c r="E120" s="8"/>
      <c r="F120" s="8"/>
      <c r="G120" s="8"/>
      <c r="H120" s="10">
        <v>1</v>
      </c>
      <c r="I120" s="54">
        <f>VLOOKUP(A120,İstasyonlar!$A$2:$D$776,4,0)</f>
        <v>999999999</v>
      </c>
      <c r="J120" s="54">
        <f t="shared" si="3"/>
        <v>39</v>
      </c>
      <c r="K120" t="str">
        <f t="shared" si="2"/>
        <v>Sabit</v>
      </c>
    </row>
    <row r="121" spans="1:11" x14ac:dyDescent="0.3">
      <c r="A121" s="9" t="s">
        <v>35</v>
      </c>
      <c r="B121" s="47" t="s">
        <v>176</v>
      </c>
      <c r="C121" s="8" t="s">
        <v>640</v>
      </c>
      <c r="D121" s="8" t="s">
        <v>639</v>
      </c>
      <c r="E121" s="8" t="s">
        <v>644</v>
      </c>
      <c r="F121" s="8"/>
      <c r="G121" s="8"/>
      <c r="H121" s="10">
        <v>0.5</v>
      </c>
      <c r="I121" s="54">
        <f>VLOOKUP(A121,İstasyonlar!$A$2:$D$776,4,0)</f>
        <v>999999999</v>
      </c>
      <c r="J121" s="54">
        <f t="shared" si="3"/>
        <v>40</v>
      </c>
      <c r="K121" t="str">
        <f t="shared" si="2"/>
        <v>Sabit</v>
      </c>
    </row>
    <row r="122" spans="1:11" x14ac:dyDescent="0.3">
      <c r="A122" s="9" t="s">
        <v>35</v>
      </c>
      <c r="B122" s="47" t="s">
        <v>177</v>
      </c>
      <c r="C122" s="8" t="s">
        <v>640</v>
      </c>
      <c r="D122" s="8" t="s">
        <v>639</v>
      </c>
      <c r="E122" s="8" t="s">
        <v>644</v>
      </c>
      <c r="F122" s="8"/>
      <c r="G122" s="8"/>
      <c r="H122" s="10">
        <v>4.2</v>
      </c>
      <c r="I122" s="54">
        <f>VLOOKUP(A122,İstasyonlar!$A$2:$D$776,4,0)</f>
        <v>999999999</v>
      </c>
      <c r="J122" s="54">
        <f t="shared" si="3"/>
        <v>40</v>
      </c>
      <c r="K122" t="str">
        <f t="shared" si="2"/>
        <v>Sabit</v>
      </c>
    </row>
    <row r="123" spans="1:11" x14ac:dyDescent="0.3">
      <c r="A123" s="9" t="s">
        <v>35</v>
      </c>
      <c r="B123" s="47" t="s">
        <v>178</v>
      </c>
      <c r="C123" s="8" t="s">
        <v>640</v>
      </c>
      <c r="D123" s="8" t="s">
        <v>639</v>
      </c>
      <c r="E123" s="8" t="s">
        <v>644</v>
      </c>
      <c r="F123" s="8"/>
      <c r="G123" s="8"/>
      <c r="H123" s="10">
        <v>6.3</v>
      </c>
      <c r="I123" s="54">
        <f>VLOOKUP(A123,İstasyonlar!$A$2:$D$776,4,0)</f>
        <v>999999999</v>
      </c>
      <c r="J123" s="54">
        <f t="shared" si="3"/>
        <v>40</v>
      </c>
      <c r="K123" t="str">
        <f t="shared" si="2"/>
        <v>Sabit</v>
      </c>
    </row>
    <row r="124" spans="1:11" x14ac:dyDescent="0.3">
      <c r="A124" s="9" t="s">
        <v>35</v>
      </c>
      <c r="B124" s="47" t="s">
        <v>179</v>
      </c>
      <c r="C124" s="8" t="s">
        <v>640</v>
      </c>
      <c r="D124" s="8" t="s">
        <v>639</v>
      </c>
      <c r="E124" s="8" t="s">
        <v>644</v>
      </c>
      <c r="F124" s="8"/>
      <c r="G124" s="8"/>
      <c r="H124" s="10">
        <v>6.4</v>
      </c>
      <c r="I124" s="54">
        <f>VLOOKUP(A124,İstasyonlar!$A$2:$D$776,4,0)</f>
        <v>999999999</v>
      </c>
      <c r="J124" s="54">
        <f t="shared" si="3"/>
        <v>40</v>
      </c>
      <c r="K124" t="str">
        <f t="shared" si="2"/>
        <v>Sabit</v>
      </c>
    </row>
    <row r="125" spans="1:11" x14ac:dyDescent="0.3">
      <c r="A125" s="9" t="s">
        <v>35</v>
      </c>
      <c r="B125" s="47" t="s">
        <v>180</v>
      </c>
      <c r="C125" s="8" t="s">
        <v>640</v>
      </c>
      <c r="D125" s="8" t="s">
        <v>639</v>
      </c>
      <c r="E125" s="8" t="s">
        <v>644</v>
      </c>
      <c r="F125" s="8"/>
      <c r="G125" s="8"/>
      <c r="H125" s="10">
        <v>0.5</v>
      </c>
      <c r="I125" s="54">
        <f>VLOOKUP(A125,İstasyonlar!$A$2:$D$776,4,0)</f>
        <v>999999999</v>
      </c>
      <c r="J125" s="54">
        <f t="shared" si="3"/>
        <v>40</v>
      </c>
      <c r="K125" t="str">
        <f t="shared" si="2"/>
        <v>Sabit</v>
      </c>
    </row>
    <row r="126" spans="1:11" x14ac:dyDescent="0.3">
      <c r="A126" s="9" t="s">
        <v>738</v>
      </c>
      <c r="B126" s="47" t="s">
        <v>739</v>
      </c>
      <c r="C126" s="8" t="s">
        <v>646</v>
      </c>
      <c r="D126" s="8" t="s">
        <v>647</v>
      </c>
      <c r="E126" s="8"/>
      <c r="F126" s="8"/>
      <c r="G126" s="8"/>
      <c r="H126" s="10">
        <v>5.0999999999999996</v>
      </c>
      <c r="I126" s="54">
        <f>VLOOKUP(A126,İstasyonlar!$A$2:$D$776,4,0)</f>
        <v>999999999</v>
      </c>
      <c r="J126" s="54">
        <f t="shared" si="3"/>
        <v>41</v>
      </c>
      <c r="K126" t="str">
        <f t="shared" si="2"/>
        <v>Sabit</v>
      </c>
    </row>
    <row r="127" spans="1:11" x14ac:dyDescent="0.3">
      <c r="A127" s="9" t="s">
        <v>738</v>
      </c>
      <c r="B127" s="47" t="s">
        <v>740</v>
      </c>
      <c r="C127" s="8" t="s">
        <v>646</v>
      </c>
      <c r="D127" s="8" t="s">
        <v>647</v>
      </c>
      <c r="E127" s="8"/>
      <c r="F127" s="8"/>
      <c r="G127" s="8"/>
      <c r="H127" s="10">
        <v>3.5</v>
      </c>
      <c r="I127" s="54">
        <f>VLOOKUP(A127,İstasyonlar!$A$2:$D$776,4,0)</f>
        <v>999999999</v>
      </c>
      <c r="J127" s="54">
        <f t="shared" si="3"/>
        <v>41</v>
      </c>
      <c r="K127" t="str">
        <f t="shared" si="2"/>
        <v>Sabit</v>
      </c>
    </row>
    <row r="128" spans="1:11" x14ac:dyDescent="0.3">
      <c r="A128" s="9" t="s">
        <v>738</v>
      </c>
      <c r="B128" s="47" t="s">
        <v>741</v>
      </c>
      <c r="C128" s="8" t="s">
        <v>646</v>
      </c>
      <c r="D128" s="8" t="s">
        <v>647</v>
      </c>
      <c r="E128" s="8"/>
      <c r="F128" s="8"/>
      <c r="G128" s="8"/>
      <c r="H128" s="10">
        <v>2.8</v>
      </c>
      <c r="I128" s="54">
        <f>VLOOKUP(A128,İstasyonlar!$A$2:$D$776,4,0)</f>
        <v>999999999</v>
      </c>
      <c r="J128" s="54">
        <f t="shared" si="3"/>
        <v>41</v>
      </c>
      <c r="K128" t="str">
        <f t="shared" si="2"/>
        <v>Sabit</v>
      </c>
    </row>
    <row r="129" spans="1:11" x14ac:dyDescent="0.3">
      <c r="A129" s="9" t="s">
        <v>738</v>
      </c>
      <c r="B129" s="47" t="s">
        <v>742</v>
      </c>
      <c r="C129" s="8" t="s">
        <v>646</v>
      </c>
      <c r="D129" s="8" t="s">
        <v>647</v>
      </c>
      <c r="E129" s="8"/>
      <c r="F129" s="8"/>
      <c r="G129" s="8"/>
      <c r="H129" s="10">
        <v>1</v>
      </c>
      <c r="I129" s="54">
        <f>VLOOKUP(A129,İstasyonlar!$A$2:$D$776,4,0)</f>
        <v>999999999</v>
      </c>
      <c r="J129" s="54">
        <f t="shared" si="3"/>
        <v>41</v>
      </c>
      <c r="K129" t="str">
        <f t="shared" si="2"/>
        <v>Sabit</v>
      </c>
    </row>
    <row r="130" spans="1:11" x14ac:dyDescent="0.3">
      <c r="A130" s="9" t="s">
        <v>37</v>
      </c>
      <c r="B130" s="47" t="s">
        <v>181</v>
      </c>
      <c r="C130" s="8" t="s">
        <v>644</v>
      </c>
      <c r="D130" s="8" t="s">
        <v>635</v>
      </c>
      <c r="E130" s="8" t="s">
        <v>646</v>
      </c>
      <c r="F130" s="8"/>
      <c r="G130" s="8"/>
      <c r="H130" s="10">
        <v>0.5</v>
      </c>
      <c r="I130" s="54">
        <f>VLOOKUP(A130,İstasyonlar!$A$2:$D$776,4,0)</f>
        <v>1000000</v>
      </c>
      <c r="J130" s="54">
        <f t="shared" si="3"/>
        <v>42</v>
      </c>
      <c r="K130" t="str">
        <f t="shared" ref="K130:K193" si="4">IF(I130=1000000,"","Sabit")</f>
        <v/>
      </c>
    </row>
    <row r="131" spans="1:11" x14ac:dyDescent="0.3">
      <c r="A131" s="9" t="s">
        <v>37</v>
      </c>
      <c r="B131" s="47" t="s">
        <v>182</v>
      </c>
      <c r="C131" s="8" t="s">
        <v>644</v>
      </c>
      <c r="D131" s="8" t="s">
        <v>635</v>
      </c>
      <c r="E131" s="8" t="s">
        <v>646</v>
      </c>
      <c r="F131" s="8"/>
      <c r="G131" s="8"/>
      <c r="H131" s="10">
        <v>2.8</v>
      </c>
      <c r="I131" s="54">
        <f>VLOOKUP(A131,İstasyonlar!$A$2:$D$776,4,0)</f>
        <v>1000000</v>
      </c>
      <c r="J131" s="54">
        <f t="shared" ref="J131:J194" si="5">IF(A131=A130, J130, J130+1)</f>
        <v>42</v>
      </c>
      <c r="K131" t="str">
        <f t="shared" si="4"/>
        <v/>
      </c>
    </row>
    <row r="132" spans="1:11" x14ac:dyDescent="0.3">
      <c r="A132" s="9" t="s">
        <v>37</v>
      </c>
      <c r="B132" s="47" t="s">
        <v>183</v>
      </c>
      <c r="C132" s="8" t="s">
        <v>644</v>
      </c>
      <c r="D132" s="8" t="s">
        <v>635</v>
      </c>
      <c r="E132" s="8" t="s">
        <v>646</v>
      </c>
      <c r="F132" s="8"/>
      <c r="G132" s="8"/>
      <c r="H132" s="10">
        <v>5.5</v>
      </c>
      <c r="I132" s="54">
        <f>VLOOKUP(A132,İstasyonlar!$A$2:$D$776,4,0)</f>
        <v>1000000</v>
      </c>
      <c r="J132" s="54">
        <f t="shared" si="5"/>
        <v>42</v>
      </c>
      <c r="K132" t="str">
        <f t="shared" si="4"/>
        <v/>
      </c>
    </row>
    <row r="133" spans="1:11" x14ac:dyDescent="0.3">
      <c r="A133" s="9" t="s">
        <v>37</v>
      </c>
      <c r="B133" s="47" t="s">
        <v>184</v>
      </c>
      <c r="C133" s="8" t="s">
        <v>644</v>
      </c>
      <c r="D133" s="8" t="s">
        <v>635</v>
      </c>
      <c r="E133" s="8" t="s">
        <v>646</v>
      </c>
      <c r="F133" s="8"/>
      <c r="G133" s="8"/>
      <c r="H133" s="10">
        <v>3.8</v>
      </c>
      <c r="I133" s="54">
        <f>VLOOKUP(A133,İstasyonlar!$A$2:$D$776,4,0)</f>
        <v>1000000</v>
      </c>
      <c r="J133" s="54">
        <f t="shared" si="5"/>
        <v>42</v>
      </c>
      <c r="K133" t="str">
        <f t="shared" si="4"/>
        <v/>
      </c>
    </row>
    <row r="134" spans="1:11" x14ac:dyDescent="0.3">
      <c r="A134" s="9" t="s">
        <v>37</v>
      </c>
      <c r="B134" s="47" t="s">
        <v>185</v>
      </c>
      <c r="C134" s="8" t="s">
        <v>644</v>
      </c>
      <c r="D134" s="8" t="s">
        <v>635</v>
      </c>
      <c r="E134" s="8" t="s">
        <v>646</v>
      </c>
      <c r="F134" s="8"/>
      <c r="G134" s="8"/>
      <c r="H134" s="10">
        <v>0.5</v>
      </c>
      <c r="I134" s="54">
        <f>VLOOKUP(A134,İstasyonlar!$A$2:$D$776,4,0)</f>
        <v>1000000</v>
      </c>
      <c r="J134" s="54">
        <f t="shared" si="5"/>
        <v>42</v>
      </c>
      <c r="K134" t="str">
        <f t="shared" si="4"/>
        <v/>
      </c>
    </row>
    <row r="135" spans="1:11" x14ac:dyDescent="0.3">
      <c r="A135" s="9" t="s">
        <v>58</v>
      </c>
      <c r="B135" s="47" t="s">
        <v>187</v>
      </c>
      <c r="C135" s="8" t="s">
        <v>647</v>
      </c>
      <c r="D135" s="8" t="s">
        <v>646</v>
      </c>
      <c r="E135" s="8"/>
      <c r="F135" s="8"/>
      <c r="G135" s="8"/>
      <c r="H135" s="10">
        <v>5.3</v>
      </c>
      <c r="I135" s="54">
        <f>VLOOKUP(A135,İstasyonlar!$A$2:$D$776,4,0)</f>
        <v>999999999</v>
      </c>
      <c r="J135" s="54">
        <f t="shared" si="5"/>
        <v>43</v>
      </c>
      <c r="K135" t="str">
        <f t="shared" si="4"/>
        <v>Sabit</v>
      </c>
    </row>
    <row r="136" spans="1:11" x14ac:dyDescent="0.3">
      <c r="A136" s="9" t="s">
        <v>58</v>
      </c>
      <c r="B136" s="47" t="s">
        <v>188</v>
      </c>
      <c r="C136" s="8" t="s">
        <v>647</v>
      </c>
      <c r="D136" s="8" t="s">
        <v>646</v>
      </c>
      <c r="E136" s="8"/>
      <c r="F136" s="8"/>
      <c r="G136" s="8"/>
      <c r="H136" s="10">
        <v>2.6</v>
      </c>
      <c r="I136" s="54">
        <f>VLOOKUP(A136,İstasyonlar!$A$2:$D$776,4,0)</f>
        <v>999999999</v>
      </c>
      <c r="J136" s="54">
        <f t="shared" si="5"/>
        <v>43</v>
      </c>
      <c r="K136" t="str">
        <f t="shared" si="4"/>
        <v>Sabit</v>
      </c>
    </row>
    <row r="137" spans="1:11" x14ac:dyDescent="0.3">
      <c r="A137" s="9" t="s">
        <v>58</v>
      </c>
      <c r="B137" s="47" t="s">
        <v>189</v>
      </c>
      <c r="C137" s="8" t="s">
        <v>647</v>
      </c>
      <c r="D137" s="8" t="s">
        <v>646</v>
      </c>
      <c r="E137" s="8"/>
      <c r="F137" s="8"/>
      <c r="G137" s="8"/>
      <c r="H137" s="10">
        <v>0.5</v>
      </c>
      <c r="I137" s="54">
        <f>VLOOKUP(A137,İstasyonlar!$A$2:$D$776,4,0)</f>
        <v>999999999</v>
      </c>
      <c r="J137" s="54">
        <f t="shared" si="5"/>
        <v>43</v>
      </c>
      <c r="K137" t="str">
        <f t="shared" si="4"/>
        <v>Sabit</v>
      </c>
    </row>
    <row r="138" spans="1:11" x14ac:dyDescent="0.3">
      <c r="A138" s="9" t="s">
        <v>36</v>
      </c>
      <c r="B138" s="47" t="s">
        <v>192</v>
      </c>
      <c r="C138" s="8" t="s">
        <v>651</v>
      </c>
      <c r="D138" s="8"/>
      <c r="E138" s="8"/>
      <c r="F138" s="8" t="s">
        <v>644</v>
      </c>
      <c r="G138" s="8"/>
      <c r="H138" s="10">
        <v>5.8</v>
      </c>
      <c r="I138" s="54">
        <f>VLOOKUP(A138,İstasyonlar!$A$2:$D$776,4,0)</f>
        <v>1000000</v>
      </c>
      <c r="J138" s="54">
        <f t="shared" si="5"/>
        <v>44</v>
      </c>
      <c r="K138" t="str">
        <f t="shared" si="4"/>
        <v/>
      </c>
    </row>
    <row r="139" spans="1:11" x14ac:dyDescent="0.3">
      <c r="A139" s="9" t="s">
        <v>36</v>
      </c>
      <c r="B139" s="47" t="s">
        <v>193</v>
      </c>
      <c r="C139" s="8" t="s">
        <v>651</v>
      </c>
      <c r="D139" s="8"/>
      <c r="E139" s="8"/>
      <c r="F139" s="8" t="s">
        <v>644</v>
      </c>
      <c r="G139" s="8"/>
      <c r="H139" s="10">
        <v>5.6</v>
      </c>
      <c r="I139" s="54">
        <f>VLOOKUP(A139,İstasyonlar!$A$2:$D$776,4,0)</f>
        <v>1000000</v>
      </c>
      <c r="J139" s="54">
        <f t="shared" si="5"/>
        <v>44</v>
      </c>
      <c r="K139" t="str">
        <f t="shared" si="4"/>
        <v/>
      </c>
    </row>
    <row r="140" spans="1:11" x14ac:dyDescent="0.3">
      <c r="A140" s="9" t="s">
        <v>36</v>
      </c>
      <c r="B140" s="47" t="s">
        <v>190</v>
      </c>
      <c r="C140" s="8" t="s">
        <v>651</v>
      </c>
      <c r="D140" s="8"/>
      <c r="E140" s="8"/>
      <c r="F140" s="8" t="s">
        <v>644</v>
      </c>
      <c r="G140" s="8"/>
      <c r="H140" s="10">
        <v>4.0999999999999996</v>
      </c>
      <c r="I140" s="54">
        <f>VLOOKUP(A140,İstasyonlar!$A$2:$D$776,4,0)</f>
        <v>1000000</v>
      </c>
      <c r="J140" s="54">
        <f t="shared" si="5"/>
        <v>44</v>
      </c>
      <c r="K140" t="str">
        <f t="shared" si="4"/>
        <v/>
      </c>
    </row>
    <row r="141" spans="1:11" x14ac:dyDescent="0.3">
      <c r="A141" s="9" t="s">
        <v>36</v>
      </c>
      <c r="B141" s="47" t="s">
        <v>191</v>
      </c>
      <c r="C141" s="8" t="s">
        <v>651</v>
      </c>
      <c r="D141" s="8"/>
      <c r="E141" s="8"/>
      <c r="F141" s="8" t="s">
        <v>644</v>
      </c>
      <c r="G141" s="8"/>
      <c r="H141" s="10">
        <v>4.0999999999999996</v>
      </c>
      <c r="I141" s="54">
        <f>VLOOKUP(A141,İstasyonlar!$A$2:$D$776,4,0)</f>
        <v>1000000</v>
      </c>
      <c r="J141" s="54">
        <f t="shared" si="5"/>
        <v>44</v>
      </c>
      <c r="K141" t="str">
        <f t="shared" si="4"/>
        <v/>
      </c>
    </row>
    <row r="142" spans="1:11" x14ac:dyDescent="0.3">
      <c r="A142" s="9" t="s">
        <v>30</v>
      </c>
      <c r="B142" s="47" t="s">
        <v>195</v>
      </c>
      <c r="C142" s="8" t="s">
        <v>652</v>
      </c>
      <c r="D142" s="8" t="s">
        <v>653</v>
      </c>
      <c r="E142" s="8"/>
      <c r="F142" s="8"/>
      <c r="G142" s="8"/>
      <c r="H142" s="10">
        <v>2.6</v>
      </c>
      <c r="I142" s="54">
        <f>VLOOKUP(A142,İstasyonlar!$A$2:$D$776,4,0)</f>
        <v>1000000</v>
      </c>
      <c r="J142" s="54">
        <f t="shared" si="5"/>
        <v>45</v>
      </c>
      <c r="K142" t="str">
        <f t="shared" si="4"/>
        <v/>
      </c>
    </row>
    <row r="143" spans="1:11" x14ac:dyDescent="0.3">
      <c r="A143" s="9" t="s">
        <v>30</v>
      </c>
      <c r="B143" s="47" t="s">
        <v>196</v>
      </c>
      <c r="C143" s="8" t="s">
        <v>652</v>
      </c>
      <c r="D143" s="8" t="s">
        <v>653</v>
      </c>
      <c r="E143" s="8"/>
      <c r="F143" s="8"/>
      <c r="G143" s="8"/>
      <c r="H143" s="10">
        <v>2.6</v>
      </c>
      <c r="I143" s="54">
        <f>VLOOKUP(A143,İstasyonlar!$A$2:$D$776,4,0)</f>
        <v>1000000</v>
      </c>
      <c r="J143" s="54">
        <f t="shared" si="5"/>
        <v>45</v>
      </c>
      <c r="K143" t="str">
        <f t="shared" si="4"/>
        <v/>
      </c>
    </row>
    <row r="144" spans="1:11" x14ac:dyDescent="0.3">
      <c r="A144" s="9" t="s">
        <v>30</v>
      </c>
      <c r="B144" s="47" t="s">
        <v>194</v>
      </c>
      <c r="C144" s="8" t="s">
        <v>652</v>
      </c>
      <c r="D144" s="8" t="s">
        <v>653</v>
      </c>
      <c r="E144" s="8"/>
      <c r="F144" s="8"/>
      <c r="G144" s="8"/>
      <c r="H144" s="10">
        <v>4.2</v>
      </c>
      <c r="I144" s="54">
        <f>VLOOKUP(A144,İstasyonlar!$A$2:$D$776,4,0)</f>
        <v>1000000</v>
      </c>
      <c r="J144" s="54">
        <f t="shared" si="5"/>
        <v>45</v>
      </c>
      <c r="K144" t="str">
        <f t="shared" si="4"/>
        <v/>
      </c>
    </row>
    <row r="145" spans="1:11" x14ac:dyDescent="0.3">
      <c r="A145" s="9" t="s">
        <v>30</v>
      </c>
      <c r="B145" s="47" t="s">
        <v>197</v>
      </c>
      <c r="C145" s="8" t="s">
        <v>652</v>
      </c>
      <c r="D145" s="8" t="s">
        <v>653</v>
      </c>
      <c r="E145" s="8"/>
      <c r="F145" s="8"/>
      <c r="G145" s="8"/>
      <c r="H145" s="10">
        <v>2.8</v>
      </c>
      <c r="I145" s="54">
        <f>VLOOKUP(A145,İstasyonlar!$A$2:$D$776,4,0)</f>
        <v>1000000</v>
      </c>
      <c r="J145" s="54">
        <f t="shared" si="5"/>
        <v>45</v>
      </c>
      <c r="K145" t="str">
        <f t="shared" si="4"/>
        <v/>
      </c>
    </row>
    <row r="146" spans="1:11" x14ac:dyDescent="0.3">
      <c r="A146" s="9" t="s">
        <v>38</v>
      </c>
      <c r="B146" s="47" t="s">
        <v>198</v>
      </c>
      <c r="C146" s="8" t="s">
        <v>653</v>
      </c>
      <c r="D146" s="8" t="s">
        <v>652</v>
      </c>
      <c r="E146" s="8"/>
      <c r="F146" s="8"/>
      <c r="G146" s="8"/>
      <c r="H146" s="10">
        <v>0.5</v>
      </c>
      <c r="I146" s="54">
        <f>VLOOKUP(A146,İstasyonlar!$A$2:$D$776,4,0)</f>
        <v>999999999</v>
      </c>
      <c r="J146" s="54">
        <f t="shared" si="5"/>
        <v>46</v>
      </c>
      <c r="K146" t="str">
        <f t="shared" si="4"/>
        <v>Sabit</v>
      </c>
    </row>
    <row r="147" spans="1:11" x14ac:dyDescent="0.3">
      <c r="A147" s="9" t="s">
        <v>38</v>
      </c>
      <c r="B147" s="47" t="s">
        <v>199</v>
      </c>
      <c r="C147" s="8" t="s">
        <v>653</v>
      </c>
      <c r="D147" s="8" t="s">
        <v>652</v>
      </c>
      <c r="E147" s="8"/>
      <c r="F147" s="8"/>
      <c r="G147" s="8"/>
      <c r="H147" s="10">
        <v>4</v>
      </c>
      <c r="I147" s="54">
        <f>VLOOKUP(A147,İstasyonlar!$A$2:$D$776,4,0)</f>
        <v>999999999</v>
      </c>
      <c r="J147" s="54">
        <f t="shared" si="5"/>
        <v>46</v>
      </c>
      <c r="K147" t="str">
        <f t="shared" si="4"/>
        <v>Sabit</v>
      </c>
    </row>
    <row r="148" spans="1:11" x14ac:dyDescent="0.3">
      <c r="A148" s="9" t="s">
        <v>38</v>
      </c>
      <c r="B148" s="47" t="s">
        <v>200</v>
      </c>
      <c r="C148" s="8" t="s">
        <v>653</v>
      </c>
      <c r="D148" s="8" t="s">
        <v>652</v>
      </c>
      <c r="E148" s="8"/>
      <c r="F148" s="8"/>
      <c r="G148" s="8"/>
      <c r="H148" s="10">
        <v>3.1</v>
      </c>
      <c r="I148" s="54">
        <f>VLOOKUP(A148,İstasyonlar!$A$2:$D$776,4,0)</f>
        <v>999999999</v>
      </c>
      <c r="J148" s="54">
        <f t="shared" si="5"/>
        <v>46</v>
      </c>
      <c r="K148" t="str">
        <f t="shared" si="4"/>
        <v>Sabit</v>
      </c>
    </row>
    <row r="149" spans="1:11" x14ac:dyDescent="0.3">
      <c r="A149" s="9" t="s">
        <v>38</v>
      </c>
      <c r="B149" s="47" t="s">
        <v>201</v>
      </c>
      <c r="C149" s="8" t="s">
        <v>653</v>
      </c>
      <c r="D149" s="8" t="s">
        <v>652</v>
      </c>
      <c r="E149" s="8"/>
      <c r="F149" s="8"/>
      <c r="G149" s="8"/>
      <c r="H149" s="10">
        <v>2.6</v>
      </c>
      <c r="I149" s="54">
        <f>VLOOKUP(A149,İstasyonlar!$A$2:$D$776,4,0)</f>
        <v>999999999</v>
      </c>
      <c r="J149" s="54">
        <f t="shared" si="5"/>
        <v>46</v>
      </c>
      <c r="K149" t="str">
        <f t="shared" si="4"/>
        <v>Sabit</v>
      </c>
    </row>
    <row r="150" spans="1:11" x14ac:dyDescent="0.3">
      <c r="A150" s="9" t="s">
        <v>38</v>
      </c>
      <c r="B150" s="47" t="s">
        <v>202</v>
      </c>
      <c r="C150" s="8" t="s">
        <v>653</v>
      </c>
      <c r="D150" s="8" t="s">
        <v>652</v>
      </c>
      <c r="E150" s="8"/>
      <c r="F150" s="8"/>
      <c r="G150" s="8"/>
      <c r="H150" s="10">
        <v>0.5</v>
      </c>
      <c r="I150" s="54">
        <f>VLOOKUP(A150,İstasyonlar!$A$2:$D$776,4,0)</f>
        <v>999999999</v>
      </c>
      <c r="J150" s="54">
        <f t="shared" si="5"/>
        <v>46</v>
      </c>
      <c r="K150" t="str">
        <f t="shared" si="4"/>
        <v>Sabit</v>
      </c>
    </row>
    <row r="151" spans="1:11" x14ac:dyDescent="0.3">
      <c r="A151" s="11" t="s">
        <v>40</v>
      </c>
      <c r="B151" s="48" t="s">
        <v>203</v>
      </c>
      <c r="C151" s="8" t="s">
        <v>655</v>
      </c>
      <c r="D151" s="8" t="s">
        <v>656</v>
      </c>
      <c r="E151" s="8"/>
      <c r="F151" s="8"/>
      <c r="G151" s="8"/>
      <c r="H151" s="10">
        <v>5.0999999999999996</v>
      </c>
      <c r="I151" s="54">
        <f>VLOOKUP(A151,İstasyonlar!$A$2:$D$776,4,0)</f>
        <v>1000000</v>
      </c>
      <c r="J151" s="54">
        <f t="shared" si="5"/>
        <v>47</v>
      </c>
      <c r="K151" t="str">
        <f t="shared" si="4"/>
        <v/>
      </c>
    </row>
    <row r="152" spans="1:11" x14ac:dyDescent="0.3">
      <c r="A152" s="11" t="s">
        <v>40</v>
      </c>
      <c r="B152" s="48" t="s">
        <v>204</v>
      </c>
      <c r="C152" s="8" t="s">
        <v>655</v>
      </c>
      <c r="D152" s="8" t="s">
        <v>656</v>
      </c>
      <c r="E152" s="8"/>
      <c r="F152" s="8"/>
      <c r="G152" s="8"/>
      <c r="H152" s="10">
        <v>4.0999999999999996</v>
      </c>
      <c r="I152" s="54">
        <f>VLOOKUP(A152,İstasyonlar!$A$2:$D$776,4,0)</f>
        <v>1000000</v>
      </c>
      <c r="J152" s="54">
        <f t="shared" si="5"/>
        <v>47</v>
      </c>
      <c r="K152" t="str">
        <f t="shared" si="4"/>
        <v/>
      </c>
    </row>
    <row r="153" spans="1:11" x14ac:dyDescent="0.3">
      <c r="A153" s="11" t="s">
        <v>40</v>
      </c>
      <c r="B153" s="48" t="s">
        <v>205</v>
      </c>
      <c r="C153" s="8" t="s">
        <v>655</v>
      </c>
      <c r="D153" s="8" t="s">
        <v>656</v>
      </c>
      <c r="E153" s="8"/>
      <c r="F153" s="8"/>
      <c r="G153" s="8"/>
      <c r="H153" s="10">
        <v>4.0999999999999996</v>
      </c>
      <c r="I153" s="54">
        <f>VLOOKUP(A153,İstasyonlar!$A$2:$D$776,4,0)</f>
        <v>1000000</v>
      </c>
      <c r="J153" s="54">
        <f t="shared" si="5"/>
        <v>47</v>
      </c>
      <c r="K153" t="str">
        <f t="shared" si="4"/>
        <v/>
      </c>
    </row>
    <row r="154" spans="1:11" x14ac:dyDescent="0.3">
      <c r="A154" s="11" t="s">
        <v>41</v>
      </c>
      <c r="B154" s="48" t="s">
        <v>211</v>
      </c>
      <c r="C154" s="8" t="s">
        <v>657</v>
      </c>
      <c r="D154" s="8" t="s">
        <v>658</v>
      </c>
      <c r="E154" s="8"/>
      <c r="F154" s="8"/>
      <c r="G154" s="8"/>
      <c r="H154" s="10">
        <v>0.5</v>
      </c>
      <c r="I154" s="54">
        <f>VLOOKUP(A154,İstasyonlar!$A$2:$D$776,4,0)</f>
        <v>999999999</v>
      </c>
      <c r="J154" s="54">
        <f t="shared" si="5"/>
        <v>48</v>
      </c>
      <c r="K154" t="str">
        <f t="shared" si="4"/>
        <v>Sabit</v>
      </c>
    </row>
    <row r="155" spans="1:11" x14ac:dyDescent="0.3">
      <c r="A155" s="11" t="s">
        <v>41</v>
      </c>
      <c r="B155" s="48" t="s">
        <v>212</v>
      </c>
      <c r="C155" s="8" t="s">
        <v>657</v>
      </c>
      <c r="D155" s="8" t="s">
        <v>658</v>
      </c>
      <c r="E155" s="8"/>
      <c r="F155" s="8"/>
      <c r="G155" s="8"/>
      <c r="H155" s="10">
        <v>12</v>
      </c>
      <c r="I155" s="54">
        <f>VLOOKUP(A155,İstasyonlar!$A$2:$D$776,4,0)</f>
        <v>999999999</v>
      </c>
      <c r="J155" s="54">
        <f t="shared" si="5"/>
        <v>48</v>
      </c>
      <c r="K155" t="str">
        <f t="shared" si="4"/>
        <v>Sabit</v>
      </c>
    </row>
    <row r="156" spans="1:11" x14ac:dyDescent="0.3">
      <c r="A156" s="11" t="s">
        <v>41</v>
      </c>
      <c r="B156" s="48" t="s">
        <v>213</v>
      </c>
      <c r="C156" s="8" t="s">
        <v>657</v>
      </c>
      <c r="D156" s="8" t="s">
        <v>658</v>
      </c>
      <c r="E156" s="8"/>
      <c r="F156" s="8"/>
      <c r="G156" s="8"/>
      <c r="H156" s="10">
        <v>4.0999999999999996</v>
      </c>
      <c r="I156" s="54">
        <f>VLOOKUP(A156,İstasyonlar!$A$2:$D$776,4,0)</f>
        <v>999999999</v>
      </c>
      <c r="J156" s="54">
        <f t="shared" si="5"/>
        <v>48</v>
      </c>
      <c r="K156" t="str">
        <f t="shared" si="4"/>
        <v>Sabit</v>
      </c>
    </row>
    <row r="157" spans="1:11" x14ac:dyDescent="0.3">
      <c r="A157" s="11" t="s">
        <v>41</v>
      </c>
      <c r="B157" s="48" t="s">
        <v>214</v>
      </c>
      <c r="C157" s="8" t="s">
        <v>657</v>
      </c>
      <c r="D157" s="8" t="s">
        <v>658</v>
      </c>
      <c r="E157" s="8"/>
      <c r="F157" s="8"/>
      <c r="G157" s="8"/>
      <c r="H157" s="10">
        <v>0.5</v>
      </c>
      <c r="I157" s="54">
        <f>VLOOKUP(A157,İstasyonlar!$A$2:$D$776,4,0)</f>
        <v>999999999</v>
      </c>
      <c r="J157" s="54">
        <f t="shared" si="5"/>
        <v>48</v>
      </c>
      <c r="K157" t="str">
        <f t="shared" si="4"/>
        <v>Sabit</v>
      </c>
    </row>
    <row r="158" spans="1:11" x14ac:dyDescent="0.3">
      <c r="A158" s="11" t="s">
        <v>42</v>
      </c>
      <c r="B158" s="48" t="s">
        <v>215</v>
      </c>
      <c r="C158" s="8" t="s">
        <v>658</v>
      </c>
      <c r="D158" s="8" t="s">
        <v>657</v>
      </c>
      <c r="E158" s="8"/>
      <c r="F158" s="8"/>
      <c r="G158" s="8"/>
      <c r="H158" s="10">
        <v>0.5</v>
      </c>
      <c r="I158" s="54">
        <f>VLOOKUP(A158,İstasyonlar!$A$2:$D$776,4,0)</f>
        <v>999999999</v>
      </c>
      <c r="J158" s="54">
        <f t="shared" si="5"/>
        <v>49</v>
      </c>
      <c r="K158" t="str">
        <f t="shared" si="4"/>
        <v>Sabit</v>
      </c>
    </row>
    <row r="159" spans="1:11" x14ac:dyDescent="0.3">
      <c r="A159" s="11" t="s">
        <v>42</v>
      </c>
      <c r="B159" s="48" t="s">
        <v>216</v>
      </c>
      <c r="C159" s="8" t="s">
        <v>658</v>
      </c>
      <c r="D159" s="8" t="s">
        <v>657</v>
      </c>
      <c r="E159" s="8"/>
      <c r="F159" s="8"/>
      <c r="G159" s="8"/>
      <c r="H159" s="10">
        <v>12</v>
      </c>
      <c r="I159" s="54">
        <f>VLOOKUP(A159,İstasyonlar!$A$2:$D$776,4,0)</f>
        <v>999999999</v>
      </c>
      <c r="J159" s="54">
        <f t="shared" si="5"/>
        <v>49</v>
      </c>
      <c r="K159" t="str">
        <f t="shared" si="4"/>
        <v>Sabit</v>
      </c>
    </row>
    <row r="160" spans="1:11" x14ac:dyDescent="0.3">
      <c r="A160" s="11" t="s">
        <v>42</v>
      </c>
      <c r="B160" s="48" t="s">
        <v>217</v>
      </c>
      <c r="C160" s="8" t="s">
        <v>658</v>
      </c>
      <c r="D160" s="8" t="s">
        <v>657</v>
      </c>
      <c r="E160" s="8"/>
      <c r="F160" s="8"/>
      <c r="G160" s="8"/>
      <c r="H160" s="10">
        <v>4.0999999999999996</v>
      </c>
      <c r="I160" s="54">
        <f>VLOOKUP(A160,İstasyonlar!$A$2:$D$776,4,0)</f>
        <v>999999999</v>
      </c>
      <c r="J160" s="54">
        <f t="shared" si="5"/>
        <v>49</v>
      </c>
      <c r="K160" t="str">
        <f t="shared" si="4"/>
        <v>Sabit</v>
      </c>
    </row>
    <row r="161" spans="1:11" x14ac:dyDescent="0.3">
      <c r="A161" s="11" t="s">
        <v>42</v>
      </c>
      <c r="B161" s="48" t="s">
        <v>218</v>
      </c>
      <c r="C161" s="8" t="s">
        <v>658</v>
      </c>
      <c r="D161" s="8" t="s">
        <v>657</v>
      </c>
      <c r="E161" s="8"/>
      <c r="F161" s="8"/>
      <c r="G161" s="8"/>
      <c r="H161" s="10">
        <v>0.5</v>
      </c>
      <c r="I161" s="54">
        <f>VLOOKUP(A161,İstasyonlar!$A$2:$D$776,4,0)</f>
        <v>999999999</v>
      </c>
      <c r="J161" s="54">
        <f t="shared" si="5"/>
        <v>49</v>
      </c>
      <c r="K161" t="str">
        <f t="shared" si="4"/>
        <v>Sabit</v>
      </c>
    </row>
    <row r="162" spans="1:11" x14ac:dyDescent="0.3">
      <c r="A162" s="11" t="s">
        <v>43</v>
      </c>
      <c r="B162" s="48" t="s">
        <v>219</v>
      </c>
      <c r="C162" s="8" t="s">
        <v>659</v>
      </c>
      <c r="D162" s="8" t="s">
        <v>660</v>
      </c>
      <c r="E162" s="8"/>
      <c r="F162" s="8"/>
      <c r="G162" s="8"/>
      <c r="H162" s="10">
        <v>5.0999999999999996</v>
      </c>
      <c r="I162" s="54">
        <f>VLOOKUP(A162,İstasyonlar!$A$2:$D$776,4,0)</f>
        <v>1000000</v>
      </c>
      <c r="J162" s="54">
        <f t="shared" si="5"/>
        <v>50</v>
      </c>
      <c r="K162" t="str">
        <f t="shared" si="4"/>
        <v/>
      </c>
    </row>
    <row r="163" spans="1:11" x14ac:dyDescent="0.3">
      <c r="A163" s="11" t="s">
        <v>43</v>
      </c>
      <c r="B163" s="48" t="s">
        <v>220</v>
      </c>
      <c r="C163" s="8" t="s">
        <v>659</v>
      </c>
      <c r="D163" s="8" t="s">
        <v>660</v>
      </c>
      <c r="E163" s="8"/>
      <c r="F163" s="8"/>
      <c r="G163" s="8"/>
      <c r="H163" s="10">
        <v>6</v>
      </c>
      <c r="I163" s="54">
        <f>VLOOKUP(A163,İstasyonlar!$A$2:$D$776,4,0)</f>
        <v>1000000</v>
      </c>
      <c r="J163" s="54">
        <f t="shared" si="5"/>
        <v>50</v>
      </c>
      <c r="K163" t="str">
        <f t="shared" si="4"/>
        <v/>
      </c>
    </row>
    <row r="164" spans="1:11" x14ac:dyDescent="0.3">
      <c r="A164" s="11" t="s">
        <v>43</v>
      </c>
      <c r="B164" s="48" t="s">
        <v>221</v>
      </c>
      <c r="C164" s="8" t="s">
        <v>659</v>
      </c>
      <c r="D164" s="8" t="s">
        <v>660</v>
      </c>
      <c r="E164" s="8"/>
      <c r="F164" s="8"/>
      <c r="G164" s="8"/>
      <c r="H164" s="10">
        <v>3.8</v>
      </c>
      <c r="I164" s="54">
        <f>VLOOKUP(A164,İstasyonlar!$A$2:$D$776,4,0)</f>
        <v>1000000</v>
      </c>
      <c r="J164" s="54">
        <f t="shared" si="5"/>
        <v>50</v>
      </c>
      <c r="K164" t="str">
        <f t="shared" si="4"/>
        <v/>
      </c>
    </row>
    <row r="165" spans="1:11" x14ac:dyDescent="0.3">
      <c r="A165" s="11" t="s">
        <v>31</v>
      </c>
      <c r="B165" s="48" t="s">
        <v>222</v>
      </c>
      <c r="C165" s="8" t="s">
        <v>660</v>
      </c>
      <c r="D165" s="8" t="s">
        <v>659</v>
      </c>
      <c r="E165" s="8"/>
      <c r="F165" s="8"/>
      <c r="G165" s="8"/>
      <c r="H165" s="10">
        <v>8.5</v>
      </c>
      <c r="I165" s="54">
        <f>VLOOKUP(A165,İstasyonlar!$A$2:$D$776,4,0)</f>
        <v>1000000</v>
      </c>
      <c r="J165" s="54">
        <f t="shared" si="5"/>
        <v>51</v>
      </c>
      <c r="K165" t="str">
        <f t="shared" si="4"/>
        <v/>
      </c>
    </row>
    <row r="166" spans="1:11" x14ac:dyDescent="0.3">
      <c r="A166" s="11" t="s">
        <v>31</v>
      </c>
      <c r="B166" s="48" t="s">
        <v>223</v>
      </c>
      <c r="C166" s="8" t="s">
        <v>660</v>
      </c>
      <c r="D166" s="8" t="s">
        <v>659</v>
      </c>
      <c r="E166" s="8"/>
      <c r="F166" s="8"/>
      <c r="G166" s="8"/>
      <c r="H166" s="10">
        <v>2.5</v>
      </c>
      <c r="I166" s="54">
        <f>VLOOKUP(A166,İstasyonlar!$A$2:$D$776,4,0)</f>
        <v>1000000</v>
      </c>
      <c r="J166" s="54">
        <f t="shared" si="5"/>
        <v>51</v>
      </c>
      <c r="K166" t="str">
        <f t="shared" si="4"/>
        <v/>
      </c>
    </row>
    <row r="167" spans="1:11" x14ac:dyDescent="0.3">
      <c r="A167" s="11" t="s">
        <v>31</v>
      </c>
      <c r="B167" s="48" t="s">
        <v>224</v>
      </c>
      <c r="C167" s="8" t="s">
        <v>660</v>
      </c>
      <c r="D167" s="8" t="s">
        <v>659</v>
      </c>
      <c r="E167" s="8"/>
      <c r="F167" s="8"/>
      <c r="G167" s="8"/>
      <c r="H167" s="10">
        <v>2.8</v>
      </c>
      <c r="I167" s="54">
        <f>VLOOKUP(A167,İstasyonlar!$A$2:$D$776,4,0)</f>
        <v>1000000</v>
      </c>
      <c r="J167" s="54">
        <f t="shared" si="5"/>
        <v>51</v>
      </c>
      <c r="K167" t="str">
        <f t="shared" si="4"/>
        <v/>
      </c>
    </row>
    <row r="168" spans="1:11" x14ac:dyDescent="0.3">
      <c r="A168" s="11" t="s">
        <v>44</v>
      </c>
      <c r="B168" s="48" t="s">
        <v>225</v>
      </c>
      <c r="C168" s="8" t="s">
        <v>662</v>
      </c>
      <c r="D168" s="8"/>
      <c r="E168" s="8"/>
      <c r="F168" s="8"/>
      <c r="G168" s="8"/>
      <c r="H168" s="10">
        <v>3.8</v>
      </c>
      <c r="I168" s="54">
        <f>VLOOKUP(A168,İstasyonlar!$A$2:$D$776,4,0)</f>
        <v>999999999</v>
      </c>
      <c r="J168" s="54">
        <f t="shared" si="5"/>
        <v>52</v>
      </c>
      <c r="K168" t="str">
        <f t="shared" si="4"/>
        <v>Sabit</v>
      </c>
    </row>
    <row r="169" spans="1:11" x14ac:dyDescent="0.3">
      <c r="A169" s="11" t="s">
        <v>44</v>
      </c>
      <c r="B169" s="48" t="s">
        <v>226</v>
      </c>
      <c r="C169" s="8" t="s">
        <v>662</v>
      </c>
      <c r="D169" s="8"/>
      <c r="E169" s="8"/>
      <c r="F169" s="8"/>
      <c r="G169" s="8"/>
      <c r="H169" s="10">
        <v>3.5</v>
      </c>
      <c r="I169" s="54">
        <f>VLOOKUP(A169,İstasyonlar!$A$2:$D$776,4,0)</f>
        <v>999999999</v>
      </c>
      <c r="J169" s="54">
        <f t="shared" si="5"/>
        <v>52</v>
      </c>
      <c r="K169" t="str">
        <f t="shared" si="4"/>
        <v>Sabit</v>
      </c>
    </row>
    <row r="170" spans="1:11" x14ac:dyDescent="0.3">
      <c r="A170" s="11" t="s">
        <v>44</v>
      </c>
      <c r="B170" s="48" t="s">
        <v>227</v>
      </c>
      <c r="C170" s="8" t="s">
        <v>662</v>
      </c>
      <c r="D170" s="8"/>
      <c r="E170" s="8"/>
      <c r="F170" s="8"/>
      <c r="G170" s="8"/>
      <c r="H170" s="10">
        <v>3.8</v>
      </c>
      <c r="I170" s="54">
        <f>VLOOKUP(A170,İstasyonlar!$A$2:$D$776,4,0)</f>
        <v>999999999</v>
      </c>
      <c r="J170" s="54">
        <f t="shared" si="5"/>
        <v>52</v>
      </c>
      <c r="K170" t="str">
        <f t="shared" si="4"/>
        <v>Sabit</v>
      </c>
    </row>
    <row r="171" spans="1:11" x14ac:dyDescent="0.3">
      <c r="A171" s="11" t="s">
        <v>285</v>
      </c>
      <c r="B171" s="48" t="s">
        <v>297</v>
      </c>
      <c r="C171" s="8" t="s">
        <v>663</v>
      </c>
      <c r="D171" s="8"/>
      <c r="E171" s="8" t="s">
        <v>629</v>
      </c>
      <c r="F171" s="8"/>
      <c r="G171" s="8"/>
      <c r="H171" s="10">
        <v>0.5</v>
      </c>
      <c r="I171" s="54">
        <f>VLOOKUP(A171,İstasyonlar!$A$2:$D$776,4,0)</f>
        <v>1000000</v>
      </c>
      <c r="J171" s="54">
        <f t="shared" si="5"/>
        <v>53</v>
      </c>
      <c r="K171" t="str">
        <f t="shared" si="4"/>
        <v/>
      </c>
    </row>
    <row r="172" spans="1:11" x14ac:dyDescent="0.3">
      <c r="A172" s="11" t="s">
        <v>285</v>
      </c>
      <c r="B172" s="48" t="s">
        <v>298</v>
      </c>
      <c r="C172" s="8" t="s">
        <v>663</v>
      </c>
      <c r="D172" s="8"/>
      <c r="E172" s="8" t="s">
        <v>629</v>
      </c>
      <c r="F172" s="8"/>
      <c r="G172" s="8"/>
      <c r="H172" s="10">
        <v>3.4</v>
      </c>
      <c r="I172" s="54">
        <f>VLOOKUP(A172,İstasyonlar!$A$2:$D$776,4,0)</f>
        <v>1000000</v>
      </c>
      <c r="J172" s="54">
        <f t="shared" si="5"/>
        <v>53</v>
      </c>
      <c r="K172" t="str">
        <f t="shared" si="4"/>
        <v/>
      </c>
    </row>
    <row r="173" spans="1:11" x14ac:dyDescent="0.3">
      <c r="A173" s="11" t="s">
        <v>285</v>
      </c>
      <c r="B173" s="48" t="s">
        <v>299</v>
      </c>
      <c r="C173" s="8" t="s">
        <v>663</v>
      </c>
      <c r="D173" s="8"/>
      <c r="E173" s="8" t="s">
        <v>629</v>
      </c>
      <c r="F173" s="8"/>
      <c r="G173" s="8"/>
      <c r="H173" s="10">
        <v>2.1</v>
      </c>
      <c r="I173" s="54">
        <f>VLOOKUP(A173,İstasyonlar!$A$2:$D$776,4,0)</f>
        <v>1000000</v>
      </c>
      <c r="J173" s="54">
        <f t="shared" si="5"/>
        <v>53</v>
      </c>
      <c r="K173" t="str">
        <f t="shared" si="4"/>
        <v/>
      </c>
    </row>
    <row r="174" spans="1:11" x14ac:dyDescent="0.3">
      <c r="A174" s="11" t="s">
        <v>285</v>
      </c>
      <c r="B174" s="48" t="s">
        <v>300</v>
      </c>
      <c r="C174" s="8" t="s">
        <v>663</v>
      </c>
      <c r="D174" s="8"/>
      <c r="E174" s="8" t="s">
        <v>629</v>
      </c>
      <c r="F174" s="8"/>
      <c r="G174" s="8"/>
      <c r="H174" s="10">
        <v>7</v>
      </c>
      <c r="I174" s="54">
        <f>VLOOKUP(A174,İstasyonlar!$A$2:$D$776,4,0)</f>
        <v>1000000</v>
      </c>
      <c r="J174" s="54">
        <f t="shared" si="5"/>
        <v>53</v>
      </c>
      <c r="K174" t="str">
        <f t="shared" si="4"/>
        <v/>
      </c>
    </row>
    <row r="175" spans="1:11" x14ac:dyDescent="0.3">
      <c r="A175" s="11" t="s">
        <v>285</v>
      </c>
      <c r="B175" s="48" t="s">
        <v>301</v>
      </c>
      <c r="C175" s="8" t="s">
        <v>663</v>
      </c>
      <c r="D175" s="8"/>
      <c r="E175" s="8" t="s">
        <v>629</v>
      </c>
      <c r="F175" s="8"/>
      <c r="G175" s="8"/>
      <c r="H175" s="10">
        <v>4</v>
      </c>
      <c r="I175" s="54">
        <f>VLOOKUP(A175,İstasyonlar!$A$2:$D$776,4,0)</f>
        <v>1000000</v>
      </c>
      <c r="J175" s="54">
        <f t="shared" si="5"/>
        <v>53</v>
      </c>
      <c r="K175" t="str">
        <f t="shared" si="4"/>
        <v/>
      </c>
    </row>
    <row r="176" spans="1:11" x14ac:dyDescent="0.3">
      <c r="A176" s="11" t="s">
        <v>45</v>
      </c>
      <c r="B176" s="48" t="s">
        <v>228</v>
      </c>
      <c r="C176" s="8" t="s">
        <v>664</v>
      </c>
      <c r="D176" s="8" t="s">
        <v>663</v>
      </c>
      <c r="E176" s="8"/>
      <c r="F176" s="8"/>
      <c r="G176" s="8"/>
      <c r="H176" s="10">
        <v>3.4</v>
      </c>
      <c r="I176" s="54">
        <f>VLOOKUP(A176,İstasyonlar!$A$2:$D$776,4,0)</f>
        <v>1000000</v>
      </c>
      <c r="J176" s="54">
        <f t="shared" si="5"/>
        <v>54</v>
      </c>
      <c r="K176" t="str">
        <f t="shared" si="4"/>
        <v/>
      </c>
    </row>
    <row r="177" spans="1:11" x14ac:dyDescent="0.3">
      <c r="A177" s="11" t="s">
        <v>45</v>
      </c>
      <c r="B177" s="48" t="s">
        <v>229</v>
      </c>
      <c r="C177" s="8" t="s">
        <v>664</v>
      </c>
      <c r="D177" s="8" t="s">
        <v>663</v>
      </c>
      <c r="E177" s="8"/>
      <c r="F177" s="8"/>
      <c r="G177" s="8"/>
      <c r="H177" s="10">
        <v>6.4</v>
      </c>
      <c r="I177" s="54">
        <f>VLOOKUP(A177,İstasyonlar!$A$2:$D$776,4,0)</f>
        <v>1000000</v>
      </c>
      <c r="J177" s="54">
        <f t="shared" si="5"/>
        <v>54</v>
      </c>
      <c r="K177" t="str">
        <f t="shared" si="4"/>
        <v/>
      </c>
    </row>
    <row r="178" spans="1:11" x14ac:dyDescent="0.3">
      <c r="A178" s="11" t="s">
        <v>45</v>
      </c>
      <c r="B178" s="48" t="s">
        <v>230</v>
      </c>
      <c r="C178" s="8" t="s">
        <v>664</v>
      </c>
      <c r="D178" s="8" t="s">
        <v>663</v>
      </c>
      <c r="E178" s="8"/>
      <c r="F178" s="8"/>
      <c r="G178" s="8"/>
      <c r="H178" s="10">
        <v>4.2</v>
      </c>
      <c r="I178" s="54">
        <f>VLOOKUP(A178,İstasyonlar!$A$2:$D$776,4,0)</f>
        <v>1000000</v>
      </c>
      <c r="J178" s="54">
        <f t="shared" si="5"/>
        <v>54</v>
      </c>
      <c r="K178" t="str">
        <f t="shared" si="4"/>
        <v/>
      </c>
    </row>
    <row r="179" spans="1:11" x14ac:dyDescent="0.3">
      <c r="A179" s="11" t="s">
        <v>45</v>
      </c>
      <c r="B179" s="48" t="s">
        <v>231</v>
      </c>
      <c r="C179" s="8" t="s">
        <v>664</v>
      </c>
      <c r="D179" s="8" t="s">
        <v>663</v>
      </c>
      <c r="E179" s="8"/>
      <c r="F179" s="8"/>
      <c r="G179" s="8"/>
      <c r="H179" s="10">
        <v>1.5</v>
      </c>
      <c r="I179" s="54">
        <f>VLOOKUP(A179,İstasyonlar!$A$2:$D$776,4,0)</f>
        <v>1000000</v>
      </c>
      <c r="J179" s="54">
        <f t="shared" si="5"/>
        <v>54</v>
      </c>
      <c r="K179" t="str">
        <f t="shared" si="4"/>
        <v/>
      </c>
    </row>
    <row r="180" spans="1:11" x14ac:dyDescent="0.3">
      <c r="A180" s="11" t="s">
        <v>46</v>
      </c>
      <c r="B180" s="48" t="s">
        <v>232</v>
      </c>
      <c r="C180" s="8" t="s">
        <v>665</v>
      </c>
      <c r="D180" s="8"/>
      <c r="E180" s="8"/>
      <c r="F180" s="8"/>
      <c r="G180" s="8"/>
      <c r="H180" s="10">
        <v>0.5</v>
      </c>
      <c r="I180" s="54">
        <f>VLOOKUP(A180,İstasyonlar!$A$2:$D$776,4,0)</f>
        <v>1000000</v>
      </c>
      <c r="J180" s="54">
        <f t="shared" si="5"/>
        <v>55</v>
      </c>
      <c r="K180" t="str">
        <f t="shared" si="4"/>
        <v/>
      </c>
    </row>
    <row r="181" spans="1:11" x14ac:dyDescent="0.3">
      <c r="A181" s="11" t="s">
        <v>46</v>
      </c>
      <c r="B181" s="48" t="s">
        <v>233</v>
      </c>
      <c r="C181" s="8" t="s">
        <v>665</v>
      </c>
      <c r="D181" s="8"/>
      <c r="E181" s="8"/>
      <c r="F181" s="8"/>
      <c r="G181" s="8"/>
      <c r="H181" s="10">
        <v>3.1</v>
      </c>
      <c r="I181" s="54">
        <f>VLOOKUP(A181,İstasyonlar!$A$2:$D$776,4,0)</f>
        <v>1000000</v>
      </c>
      <c r="J181" s="54">
        <f t="shared" si="5"/>
        <v>55</v>
      </c>
      <c r="K181" t="str">
        <f t="shared" si="4"/>
        <v/>
      </c>
    </row>
    <row r="182" spans="1:11" x14ac:dyDescent="0.3">
      <c r="A182" s="11" t="s">
        <v>46</v>
      </c>
      <c r="B182" s="48" t="s">
        <v>234</v>
      </c>
      <c r="C182" s="8" t="s">
        <v>665</v>
      </c>
      <c r="D182" s="8"/>
      <c r="E182" s="8"/>
      <c r="F182" s="8"/>
      <c r="G182" s="8"/>
      <c r="H182" s="10">
        <v>4.2</v>
      </c>
      <c r="I182" s="54">
        <f>VLOOKUP(A182,İstasyonlar!$A$2:$D$776,4,0)</f>
        <v>1000000</v>
      </c>
      <c r="J182" s="54">
        <f t="shared" si="5"/>
        <v>55</v>
      </c>
      <c r="K182" t="str">
        <f t="shared" si="4"/>
        <v/>
      </c>
    </row>
    <row r="183" spans="1:11" x14ac:dyDescent="0.3">
      <c r="A183" s="11" t="s">
        <v>46</v>
      </c>
      <c r="B183" s="48" t="s">
        <v>235</v>
      </c>
      <c r="C183" s="8" t="s">
        <v>665</v>
      </c>
      <c r="D183" s="8"/>
      <c r="E183" s="8"/>
      <c r="F183" s="8"/>
      <c r="G183" s="8"/>
      <c r="H183" s="10">
        <v>2.1</v>
      </c>
      <c r="I183" s="54">
        <f>VLOOKUP(A183,İstasyonlar!$A$2:$D$776,4,0)</f>
        <v>1000000</v>
      </c>
      <c r="J183" s="54">
        <f t="shared" si="5"/>
        <v>55</v>
      </c>
      <c r="K183" t="str">
        <f t="shared" si="4"/>
        <v/>
      </c>
    </row>
    <row r="184" spans="1:11" x14ac:dyDescent="0.3">
      <c r="A184" s="11" t="s">
        <v>46</v>
      </c>
      <c r="B184" s="48" t="s">
        <v>236</v>
      </c>
      <c r="C184" s="8" t="s">
        <v>665</v>
      </c>
      <c r="D184" s="8"/>
      <c r="E184" s="8"/>
      <c r="F184" s="8"/>
      <c r="G184" s="8"/>
      <c r="H184" s="10">
        <v>0.5</v>
      </c>
      <c r="I184" s="54">
        <f>VLOOKUP(A184,İstasyonlar!$A$2:$D$776,4,0)</f>
        <v>1000000</v>
      </c>
      <c r="J184" s="54">
        <f t="shared" si="5"/>
        <v>55</v>
      </c>
      <c r="K184" t="str">
        <f t="shared" si="4"/>
        <v/>
      </c>
    </row>
    <row r="185" spans="1:11" x14ac:dyDescent="0.3">
      <c r="A185" s="11" t="s">
        <v>46</v>
      </c>
      <c r="B185" s="48" t="s">
        <v>237</v>
      </c>
      <c r="C185" s="8" t="s">
        <v>665</v>
      </c>
      <c r="D185" s="8"/>
      <c r="E185" s="8"/>
      <c r="F185" s="8"/>
      <c r="G185" s="8"/>
      <c r="H185" s="10">
        <v>0.5</v>
      </c>
      <c r="I185" s="54">
        <f>VLOOKUP(A185,İstasyonlar!$A$2:$D$776,4,0)</f>
        <v>1000000</v>
      </c>
      <c r="J185" s="54">
        <f t="shared" si="5"/>
        <v>55</v>
      </c>
      <c r="K185" t="str">
        <f t="shared" si="4"/>
        <v/>
      </c>
    </row>
    <row r="186" spans="1:11" x14ac:dyDescent="0.3">
      <c r="A186" s="11" t="s">
        <v>47</v>
      </c>
      <c r="B186" s="48" t="s">
        <v>239</v>
      </c>
      <c r="C186" s="8" t="s">
        <v>666</v>
      </c>
      <c r="D186" s="8" t="s">
        <v>634</v>
      </c>
      <c r="E186" s="8"/>
      <c r="F186" s="8"/>
      <c r="G186" s="8"/>
      <c r="H186" s="10">
        <v>4.3</v>
      </c>
      <c r="I186" s="54">
        <f>VLOOKUP(A186,İstasyonlar!$A$2:$D$776,4,0)</f>
        <v>999999999</v>
      </c>
      <c r="J186" s="54">
        <f t="shared" si="5"/>
        <v>56</v>
      </c>
      <c r="K186" t="str">
        <f t="shared" si="4"/>
        <v>Sabit</v>
      </c>
    </row>
    <row r="187" spans="1:11" x14ac:dyDescent="0.3">
      <c r="A187" s="11" t="s">
        <v>47</v>
      </c>
      <c r="B187" s="48" t="s">
        <v>400</v>
      </c>
      <c r="C187" s="8" t="s">
        <v>666</v>
      </c>
      <c r="D187" s="8" t="s">
        <v>634</v>
      </c>
      <c r="E187" s="8"/>
      <c r="F187" s="8"/>
      <c r="G187" s="8"/>
      <c r="H187" s="10">
        <v>4</v>
      </c>
      <c r="I187" s="54">
        <f>VLOOKUP(A187,İstasyonlar!$A$2:$D$776,4,0)</f>
        <v>999999999</v>
      </c>
      <c r="J187" s="54">
        <f t="shared" si="5"/>
        <v>56</v>
      </c>
      <c r="K187" t="str">
        <f t="shared" si="4"/>
        <v>Sabit</v>
      </c>
    </row>
    <row r="188" spans="1:11" x14ac:dyDescent="0.3">
      <c r="A188" s="11" t="s">
        <v>47</v>
      </c>
      <c r="B188" s="48" t="s">
        <v>401</v>
      </c>
      <c r="C188" s="8" t="s">
        <v>666</v>
      </c>
      <c r="D188" s="8" t="s">
        <v>634</v>
      </c>
      <c r="E188" s="8"/>
      <c r="F188" s="8"/>
      <c r="G188" s="8"/>
      <c r="H188" s="10">
        <v>1.5</v>
      </c>
      <c r="I188" s="54">
        <f>VLOOKUP(A188,İstasyonlar!$A$2:$D$776,4,0)</f>
        <v>999999999</v>
      </c>
      <c r="J188" s="54">
        <f t="shared" si="5"/>
        <v>56</v>
      </c>
      <c r="K188" t="str">
        <f t="shared" si="4"/>
        <v>Sabit</v>
      </c>
    </row>
    <row r="189" spans="1:11" x14ac:dyDescent="0.3">
      <c r="A189" s="11" t="s">
        <v>47</v>
      </c>
      <c r="B189" s="48" t="s">
        <v>240</v>
      </c>
      <c r="C189" s="8" t="s">
        <v>666</v>
      </c>
      <c r="D189" s="8" t="s">
        <v>634</v>
      </c>
      <c r="E189" s="8"/>
      <c r="F189" s="8"/>
      <c r="G189" s="8"/>
      <c r="H189" s="10">
        <v>4.5</v>
      </c>
      <c r="I189" s="54">
        <f>VLOOKUP(A189,İstasyonlar!$A$2:$D$776,4,0)</f>
        <v>999999999</v>
      </c>
      <c r="J189" s="54">
        <f t="shared" si="5"/>
        <v>56</v>
      </c>
      <c r="K189" t="str">
        <f t="shared" si="4"/>
        <v>Sabit</v>
      </c>
    </row>
    <row r="190" spans="1:11" x14ac:dyDescent="0.3">
      <c r="A190" s="11" t="s">
        <v>47</v>
      </c>
      <c r="B190" s="48" t="s">
        <v>402</v>
      </c>
      <c r="C190" s="8" t="s">
        <v>666</v>
      </c>
      <c r="D190" s="8" t="s">
        <v>634</v>
      </c>
      <c r="E190" s="8"/>
      <c r="F190" s="8"/>
      <c r="G190" s="8"/>
      <c r="H190" s="10">
        <v>3.1</v>
      </c>
      <c r="I190" s="54">
        <f>VLOOKUP(A190,İstasyonlar!$A$2:$D$776,4,0)</f>
        <v>999999999</v>
      </c>
      <c r="J190" s="54">
        <f t="shared" si="5"/>
        <v>56</v>
      </c>
      <c r="K190" t="str">
        <f t="shared" si="4"/>
        <v>Sabit</v>
      </c>
    </row>
    <row r="191" spans="1:11" x14ac:dyDescent="0.3">
      <c r="A191" s="9" t="s">
        <v>403</v>
      </c>
      <c r="B191" s="47" t="s">
        <v>732</v>
      </c>
      <c r="C191" s="8" t="s">
        <v>634</v>
      </c>
      <c r="D191" s="8" t="s">
        <v>668</v>
      </c>
      <c r="E191" s="8"/>
      <c r="F191" s="8"/>
      <c r="G191" s="8"/>
      <c r="H191" s="10">
        <v>5</v>
      </c>
      <c r="I191" s="54">
        <f>VLOOKUP(A191,İstasyonlar!$A$2:$D$776,4,0)</f>
        <v>999999999</v>
      </c>
      <c r="J191" s="54">
        <f t="shared" si="5"/>
        <v>57</v>
      </c>
      <c r="K191" t="str">
        <f t="shared" si="4"/>
        <v>Sabit</v>
      </c>
    </row>
    <row r="192" spans="1:11" x14ac:dyDescent="0.3">
      <c r="A192" s="9" t="s">
        <v>403</v>
      </c>
      <c r="B192" s="47" t="s">
        <v>733</v>
      </c>
      <c r="C192" s="8" t="s">
        <v>634</v>
      </c>
      <c r="D192" s="8" t="s">
        <v>668</v>
      </c>
      <c r="E192" s="8"/>
      <c r="F192" s="8"/>
      <c r="G192" s="8"/>
      <c r="H192" s="10">
        <v>0.8</v>
      </c>
      <c r="I192" s="54">
        <f>VLOOKUP(A192,İstasyonlar!$A$2:$D$776,4,0)</f>
        <v>999999999</v>
      </c>
      <c r="J192" s="54">
        <f t="shared" si="5"/>
        <v>57</v>
      </c>
      <c r="K192" t="str">
        <f t="shared" si="4"/>
        <v>Sabit</v>
      </c>
    </row>
    <row r="193" spans="1:11" x14ac:dyDescent="0.3">
      <c r="A193" s="9" t="s">
        <v>403</v>
      </c>
      <c r="B193" s="47" t="s">
        <v>734</v>
      </c>
      <c r="C193" s="8" t="s">
        <v>634</v>
      </c>
      <c r="D193" s="8" t="s">
        <v>668</v>
      </c>
      <c r="E193" s="8"/>
      <c r="F193" s="8"/>
      <c r="G193" s="8"/>
      <c r="H193" s="10">
        <v>1.5</v>
      </c>
      <c r="I193" s="54">
        <f>VLOOKUP(A193,İstasyonlar!$A$2:$D$776,4,0)</f>
        <v>999999999</v>
      </c>
      <c r="J193" s="54">
        <f t="shared" si="5"/>
        <v>57</v>
      </c>
      <c r="K193" t="str">
        <f t="shared" si="4"/>
        <v>Sabit</v>
      </c>
    </row>
    <row r="194" spans="1:11" x14ac:dyDescent="0.3">
      <c r="A194" s="9" t="s">
        <v>403</v>
      </c>
      <c r="B194" s="47" t="s">
        <v>735</v>
      </c>
      <c r="C194" s="8" t="s">
        <v>634</v>
      </c>
      <c r="D194" s="8" t="s">
        <v>668</v>
      </c>
      <c r="E194" s="8"/>
      <c r="F194" s="8"/>
      <c r="G194" s="8"/>
      <c r="H194" s="10">
        <v>2.1</v>
      </c>
      <c r="I194" s="54">
        <f>VLOOKUP(A194,İstasyonlar!$A$2:$D$776,4,0)</f>
        <v>999999999</v>
      </c>
      <c r="J194" s="54">
        <f t="shared" si="5"/>
        <v>57</v>
      </c>
      <c r="K194" t="str">
        <f t="shared" ref="K194:K257" si="6">IF(I194=1000000,"","Sabit")</f>
        <v>Sabit</v>
      </c>
    </row>
    <row r="195" spans="1:11" x14ac:dyDescent="0.3">
      <c r="A195" s="9" t="s">
        <v>403</v>
      </c>
      <c r="B195" s="47" t="s">
        <v>736</v>
      </c>
      <c r="C195" s="8" t="s">
        <v>634</v>
      </c>
      <c r="D195" s="8" t="s">
        <v>668</v>
      </c>
      <c r="E195" s="8"/>
      <c r="F195" s="8"/>
      <c r="G195" s="8"/>
      <c r="H195" s="10">
        <v>1</v>
      </c>
      <c r="I195" s="54">
        <f>VLOOKUP(A195,İstasyonlar!$A$2:$D$776,4,0)</f>
        <v>999999999</v>
      </c>
      <c r="J195" s="54">
        <f t="shared" ref="J195:J263" si="7">IF(A195=A194, J194, J194+1)</f>
        <v>57</v>
      </c>
      <c r="K195" t="str">
        <f t="shared" si="6"/>
        <v>Sabit</v>
      </c>
    </row>
    <row r="196" spans="1:11" x14ac:dyDescent="0.3">
      <c r="A196" s="9" t="s">
        <v>403</v>
      </c>
      <c r="B196" s="47" t="s">
        <v>737</v>
      </c>
      <c r="C196" s="8" t="s">
        <v>634</v>
      </c>
      <c r="D196" s="8" t="s">
        <v>668</v>
      </c>
      <c r="E196" s="8"/>
      <c r="F196" s="8"/>
      <c r="G196" s="8"/>
      <c r="H196" s="10">
        <v>2.1</v>
      </c>
      <c r="I196" s="54">
        <f>VLOOKUP(A196,İstasyonlar!$A$2:$D$776,4,0)</f>
        <v>999999999</v>
      </c>
      <c r="J196" s="54">
        <f t="shared" si="7"/>
        <v>57</v>
      </c>
      <c r="K196" t="str">
        <f t="shared" si="6"/>
        <v>Sabit</v>
      </c>
    </row>
    <row r="197" spans="1:11" x14ac:dyDescent="0.3">
      <c r="A197" s="11" t="s">
        <v>48</v>
      </c>
      <c r="B197" s="48" t="s">
        <v>304</v>
      </c>
      <c r="C197" s="8" t="s">
        <v>674</v>
      </c>
      <c r="D197" s="8" t="s">
        <v>666</v>
      </c>
      <c r="E197" s="8"/>
      <c r="F197" s="8"/>
      <c r="G197" s="8"/>
      <c r="H197" s="10">
        <v>2.6</v>
      </c>
      <c r="I197" s="54">
        <f>VLOOKUP(A197,İstasyonlar!$A$2:$D$776,4,0)</f>
        <v>1000000</v>
      </c>
      <c r="J197" s="54">
        <f t="shared" si="7"/>
        <v>58</v>
      </c>
      <c r="K197" t="str">
        <f t="shared" si="6"/>
        <v/>
      </c>
    </row>
    <row r="198" spans="1:11" x14ac:dyDescent="0.3">
      <c r="A198" s="11" t="s">
        <v>48</v>
      </c>
      <c r="B198" s="48" t="s">
        <v>305</v>
      </c>
      <c r="C198" s="8" t="s">
        <v>674</v>
      </c>
      <c r="D198" s="8" t="s">
        <v>666</v>
      </c>
      <c r="E198" s="8"/>
      <c r="F198" s="8"/>
      <c r="G198" s="8"/>
      <c r="H198" s="10">
        <v>2.6</v>
      </c>
      <c r="I198" s="54">
        <f>VLOOKUP(A198,İstasyonlar!$A$2:$D$776,4,0)</f>
        <v>1000000</v>
      </c>
      <c r="J198" s="54">
        <f t="shared" si="7"/>
        <v>58</v>
      </c>
      <c r="K198" t="str">
        <f t="shared" si="6"/>
        <v/>
      </c>
    </row>
    <row r="199" spans="1:11" x14ac:dyDescent="0.3">
      <c r="A199" s="11" t="s">
        <v>48</v>
      </c>
      <c r="B199" s="48" t="s">
        <v>306</v>
      </c>
      <c r="C199" s="8" t="s">
        <v>674</v>
      </c>
      <c r="D199" s="8" t="s">
        <v>666</v>
      </c>
      <c r="E199" s="8"/>
      <c r="F199" s="8"/>
      <c r="G199" s="8"/>
      <c r="H199" s="10">
        <v>3.8</v>
      </c>
      <c r="I199" s="54">
        <f>VLOOKUP(A199,İstasyonlar!$A$2:$D$776,4,0)</f>
        <v>1000000</v>
      </c>
      <c r="J199" s="54">
        <f t="shared" si="7"/>
        <v>58</v>
      </c>
      <c r="K199" t="str">
        <f t="shared" si="6"/>
        <v/>
      </c>
    </row>
    <row r="200" spans="1:11" x14ac:dyDescent="0.3">
      <c r="A200" s="11" t="s">
        <v>48</v>
      </c>
      <c r="B200" s="48" t="s">
        <v>307</v>
      </c>
      <c r="C200" s="8" t="s">
        <v>674</v>
      </c>
      <c r="D200" s="8" t="s">
        <v>666</v>
      </c>
      <c r="E200" s="8"/>
      <c r="F200" s="8"/>
      <c r="G200" s="8"/>
      <c r="H200" s="10">
        <v>4</v>
      </c>
      <c r="I200" s="54">
        <f>VLOOKUP(A200,İstasyonlar!$A$2:$D$776,4,0)</f>
        <v>1000000</v>
      </c>
      <c r="J200" s="54">
        <f t="shared" si="7"/>
        <v>58</v>
      </c>
      <c r="K200" t="str">
        <f t="shared" si="6"/>
        <v/>
      </c>
    </row>
    <row r="201" spans="1:11" x14ac:dyDescent="0.3">
      <c r="A201" s="11" t="s">
        <v>48</v>
      </c>
      <c r="B201" s="48" t="s">
        <v>308</v>
      </c>
      <c r="C201" s="8" t="s">
        <v>674</v>
      </c>
      <c r="D201" s="8" t="s">
        <v>666</v>
      </c>
      <c r="E201" s="8"/>
      <c r="F201" s="8"/>
      <c r="G201" s="8"/>
      <c r="H201" s="10">
        <v>4</v>
      </c>
      <c r="I201" s="54">
        <f>VLOOKUP(A201,İstasyonlar!$A$2:$D$776,4,0)</f>
        <v>1000000</v>
      </c>
      <c r="J201" s="54">
        <f t="shared" si="7"/>
        <v>58</v>
      </c>
      <c r="K201" t="str">
        <f t="shared" si="6"/>
        <v/>
      </c>
    </row>
    <row r="202" spans="1:11" x14ac:dyDescent="0.3">
      <c r="A202" s="11" t="s">
        <v>48</v>
      </c>
      <c r="B202" s="48" t="s">
        <v>309</v>
      </c>
      <c r="C202" s="8" t="s">
        <v>674</v>
      </c>
      <c r="D202" s="8" t="s">
        <v>666</v>
      </c>
      <c r="E202" s="8"/>
      <c r="F202" s="8"/>
      <c r="G202" s="8"/>
      <c r="H202" s="10">
        <v>4</v>
      </c>
      <c r="I202" s="54">
        <f>VLOOKUP(A202,İstasyonlar!$A$2:$D$776,4,0)</f>
        <v>1000000</v>
      </c>
      <c r="J202" s="54">
        <f t="shared" si="7"/>
        <v>58</v>
      </c>
      <c r="K202" t="str">
        <f t="shared" si="6"/>
        <v/>
      </c>
    </row>
    <row r="203" spans="1:11" x14ac:dyDescent="0.3">
      <c r="A203" s="11" t="s">
        <v>49</v>
      </c>
      <c r="B203" s="48" t="s">
        <v>409</v>
      </c>
      <c r="C203" s="8" t="s">
        <v>675</v>
      </c>
      <c r="D203" s="8" t="s">
        <v>629</v>
      </c>
      <c r="E203" s="8" t="s">
        <v>662</v>
      </c>
      <c r="F203" s="8"/>
      <c r="G203" s="8"/>
      <c r="H203" s="10">
        <v>3.1</v>
      </c>
      <c r="I203" s="54">
        <f>VLOOKUP(A203,İstasyonlar!$A$2:$D$776,4,0)</f>
        <v>1000000</v>
      </c>
      <c r="J203" s="54">
        <f t="shared" si="7"/>
        <v>59</v>
      </c>
      <c r="K203" t="str">
        <f t="shared" si="6"/>
        <v/>
      </c>
    </row>
    <row r="204" spans="1:11" x14ac:dyDescent="0.3">
      <c r="A204" s="11" t="s">
        <v>49</v>
      </c>
      <c r="B204" s="48" t="s">
        <v>244</v>
      </c>
      <c r="C204" s="8" t="s">
        <v>675</v>
      </c>
      <c r="D204" s="8" t="s">
        <v>629</v>
      </c>
      <c r="E204" s="8" t="s">
        <v>662</v>
      </c>
      <c r="F204" s="8"/>
      <c r="G204" s="8"/>
      <c r="H204" s="10">
        <v>2.9</v>
      </c>
      <c r="I204" s="54">
        <f>VLOOKUP(A204,İstasyonlar!$A$2:$D$776,4,0)</f>
        <v>1000000</v>
      </c>
      <c r="J204" s="54">
        <f t="shared" si="7"/>
        <v>59</v>
      </c>
      <c r="K204" t="str">
        <f t="shared" si="6"/>
        <v/>
      </c>
    </row>
    <row r="205" spans="1:11" x14ac:dyDescent="0.3">
      <c r="A205" s="11" t="s">
        <v>49</v>
      </c>
      <c r="B205" s="48" t="s">
        <v>245</v>
      </c>
      <c r="C205" s="8" t="s">
        <v>675</v>
      </c>
      <c r="D205" s="8" t="s">
        <v>629</v>
      </c>
      <c r="E205" s="8" t="s">
        <v>662</v>
      </c>
      <c r="F205" s="8"/>
      <c r="G205" s="8"/>
      <c r="H205" s="10">
        <v>6.1</v>
      </c>
      <c r="I205" s="54">
        <f>VLOOKUP(A205,İstasyonlar!$A$2:$D$776,4,0)</f>
        <v>1000000</v>
      </c>
      <c r="J205" s="54">
        <f t="shared" si="7"/>
        <v>59</v>
      </c>
      <c r="K205" t="str">
        <f t="shared" si="6"/>
        <v/>
      </c>
    </row>
    <row r="206" spans="1:11" x14ac:dyDescent="0.3">
      <c r="A206" s="11" t="s">
        <v>50</v>
      </c>
      <c r="B206" s="48" t="s">
        <v>249</v>
      </c>
      <c r="C206" s="8" t="s">
        <v>744</v>
      </c>
      <c r="D206" s="8" t="s">
        <v>675</v>
      </c>
      <c r="E206" s="8" t="s">
        <v>664</v>
      </c>
      <c r="F206" s="8"/>
      <c r="G206" s="8"/>
      <c r="H206" s="10">
        <v>6.1</v>
      </c>
      <c r="I206" s="54">
        <f>VLOOKUP(A206,İstasyonlar!$A$2:$D$776,4,0)</f>
        <v>1000000</v>
      </c>
      <c r="J206" s="54">
        <f t="shared" si="7"/>
        <v>60</v>
      </c>
      <c r="K206" t="str">
        <f t="shared" si="6"/>
        <v/>
      </c>
    </row>
    <row r="207" spans="1:11" x14ac:dyDescent="0.3">
      <c r="A207" s="11" t="s">
        <v>50</v>
      </c>
      <c r="B207" s="48" t="s">
        <v>410</v>
      </c>
      <c r="C207" s="8" t="s">
        <v>744</v>
      </c>
      <c r="D207" s="8" t="s">
        <v>675</v>
      </c>
      <c r="E207" s="8" t="s">
        <v>664</v>
      </c>
      <c r="F207" s="8"/>
      <c r="G207" s="8"/>
      <c r="H207" s="10">
        <v>3.1</v>
      </c>
      <c r="I207" s="54">
        <f>VLOOKUP(A207,İstasyonlar!$A$2:$D$776,4,0)</f>
        <v>1000000</v>
      </c>
      <c r="J207" s="54">
        <f t="shared" si="7"/>
        <v>60</v>
      </c>
      <c r="K207" t="str">
        <f t="shared" si="6"/>
        <v/>
      </c>
    </row>
    <row r="208" spans="1:11" x14ac:dyDescent="0.3">
      <c r="A208" s="11" t="s">
        <v>50</v>
      </c>
      <c r="B208" s="48" t="s">
        <v>411</v>
      </c>
      <c r="C208" s="8" t="s">
        <v>744</v>
      </c>
      <c r="D208" s="8" t="s">
        <v>675</v>
      </c>
      <c r="E208" s="8" t="s">
        <v>664</v>
      </c>
      <c r="F208" s="8"/>
      <c r="G208" s="8"/>
      <c r="H208" s="10">
        <v>3.6</v>
      </c>
      <c r="I208" s="54">
        <f>VLOOKUP(A208,İstasyonlar!$A$2:$D$776,4,0)</f>
        <v>1000000</v>
      </c>
      <c r="J208" s="54">
        <f t="shared" si="7"/>
        <v>60</v>
      </c>
      <c r="K208" t="str">
        <f t="shared" si="6"/>
        <v/>
      </c>
    </row>
    <row r="209" spans="1:11" x14ac:dyDescent="0.3">
      <c r="A209" s="11" t="s">
        <v>50</v>
      </c>
      <c r="B209" s="48" t="s">
        <v>250</v>
      </c>
      <c r="C209" s="8" t="s">
        <v>744</v>
      </c>
      <c r="D209" s="8" t="s">
        <v>675</v>
      </c>
      <c r="E209" s="8" t="s">
        <v>664</v>
      </c>
      <c r="F209" s="8"/>
      <c r="G209" s="8"/>
      <c r="H209" s="10">
        <v>1</v>
      </c>
      <c r="I209" s="54">
        <f>VLOOKUP(A209,İstasyonlar!$A$2:$D$776,4,0)</f>
        <v>1000000</v>
      </c>
      <c r="J209" s="54">
        <f t="shared" si="7"/>
        <v>60</v>
      </c>
      <c r="K209" t="str">
        <f t="shared" si="6"/>
        <v/>
      </c>
    </row>
    <row r="210" spans="1:11" x14ac:dyDescent="0.3">
      <c r="A210" s="11" t="s">
        <v>52</v>
      </c>
      <c r="B210" s="48" t="s">
        <v>254</v>
      </c>
      <c r="C210" s="8" t="s">
        <v>676</v>
      </c>
      <c r="D210" s="8"/>
      <c r="E210" s="8"/>
      <c r="F210" s="8"/>
      <c r="G210" s="8"/>
      <c r="H210" s="10">
        <v>5.5</v>
      </c>
      <c r="I210" s="54">
        <f>VLOOKUP(A210,İstasyonlar!$A$2:$D$776,4,0)</f>
        <v>999999999</v>
      </c>
      <c r="J210" s="54">
        <f t="shared" si="7"/>
        <v>61</v>
      </c>
      <c r="K210" t="str">
        <f t="shared" si="6"/>
        <v>Sabit</v>
      </c>
    </row>
    <row r="211" spans="1:11" x14ac:dyDescent="0.3">
      <c r="A211" s="11" t="s">
        <v>52</v>
      </c>
      <c r="B211" s="48" t="s">
        <v>255</v>
      </c>
      <c r="C211" s="8" t="s">
        <v>676</v>
      </c>
      <c r="D211" s="8"/>
      <c r="E211" s="8"/>
      <c r="F211" s="8"/>
      <c r="G211" s="8"/>
      <c r="H211" s="10">
        <v>1.8</v>
      </c>
      <c r="I211" s="54">
        <f>VLOOKUP(A211,İstasyonlar!$A$2:$D$776,4,0)</f>
        <v>999999999</v>
      </c>
      <c r="J211" s="54">
        <f t="shared" si="7"/>
        <v>61</v>
      </c>
      <c r="K211" t="str">
        <f t="shared" si="6"/>
        <v>Sabit</v>
      </c>
    </row>
    <row r="212" spans="1:11" x14ac:dyDescent="0.3">
      <c r="A212" s="11" t="s">
        <v>52</v>
      </c>
      <c r="B212" s="48" t="s">
        <v>256</v>
      </c>
      <c r="C212" s="8" t="s">
        <v>676</v>
      </c>
      <c r="D212" s="8"/>
      <c r="E212" s="8"/>
      <c r="F212" s="8"/>
      <c r="G212" s="8"/>
      <c r="H212" s="10">
        <v>2.5</v>
      </c>
      <c r="I212" s="54">
        <f>VLOOKUP(A212,İstasyonlar!$A$2:$D$776,4,0)</f>
        <v>999999999</v>
      </c>
      <c r="J212" s="54">
        <f t="shared" si="7"/>
        <v>61</v>
      </c>
      <c r="K212" t="str">
        <f t="shared" si="6"/>
        <v>Sabit</v>
      </c>
    </row>
    <row r="213" spans="1:11" x14ac:dyDescent="0.3">
      <c r="A213" s="11" t="s">
        <v>53</v>
      </c>
      <c r="B213" s="48" t="s">
        <v>257</v>
      </c>
      <c r="C213" s="8" t="s">
        <v>677</v>
      </c>
      <c r="D213" s="8"/>
      <c r="E213" s="8"/>
      <c r="F213" s="8"/>
      <c r="G213" s="8"/>
      <c r="H213" s="10">
        <v>0.5</v>
      </c>
      <c r="I213" s="54">
        <f>VLOOKUP(A213,İstasyonlar!$A$2:$D$776,4,0)</f>
        <v>999999999</v>
      </c>
      <c r="J213" s="54">
        <f t="shared" si="7"/>
        <v>62</v>
      </c>
      <c r="K213" t="str">
        <f t="shared" si="6"/>
        <v>Sabit</v>
      </c>
    </row>
    <row r="214" spans="1:11" x14ac:dyDescent="0.3">
      <c r="A214" s="11" t="s">
        <v>53</v>
      </c>
      <c r="B214" s="48" t="s">
        <v>258</v>
      </c>
      <c r="C214" s="8" t="s">
        <v>677</v>
      </c>
      <c r="D214" s="8"/>
      <c r="E214" s="8"/>
      <c r="F214" s="8"/>
      <c r="G214" s="8"/>
      <c r="H214" s="10">
        <v>2.8</v>
      </c>
      <c r="I214" s="54">
        <f>VLOOKUP(A214,İstasyonlar!$A$2:$D$776,4,0)</f>
        <v>999999999</v>
      </c>
      <c r="J214" s="54">
        <f t="shared" si="7"/>
        <v>62</v>
      </c>
      <c r="K214" t="str">
        <f t="shared" si="6"/>
        <v>Sabit</v>
      </c>
    </row>
    <row r="215" spans="1:11" x14ac:dyDescent="0.3">
      <c r="A215" s="11" t="s">
        <v>53</v>
      </c>
      <c r="B215" s="48" t="s">
        <v>259</v>
      </c>
      <c r="C215" s="8" t="s">
        <v>677</v>
      </c>
      <c r="D215" s="8"/>
      <c r="E215" s="8"/>
      <c r="F215" s="8"/>
      <c r="G215" s="8"/>
      <c r="H215" s="10">
        <v>3.8</v>
      </c>
      <c r="I215" s="54">
        <f>VLOOKUP(A215,İstasyonlar!$A$2:$D$776,4,0)</f>
        <v>999999999</v>
      </c>
      <c r="J215" s="54">
        <f t="shared" si="7"/>
        <v>62</v>
      </c>
      <c r="K215" t="str">
        <f t="shared" si="6"/>
        <v>Sabit</v>
      </c>
    </row>
    <row r="216" spans="1:11" x14ac:dyDescent="0.3">
      <c r="A216" s="11" t="s">
        <v>53</v>
      </c>
      <c r="B216" s="48" t="s">
        <v>260</v>
      </c>
      <c r="C216" s="8" t="s">
        <v>677</v>
      </c>
      <c r="D216" s="8"/>
      <c r="E216" s="8"/>
      <c r="F216" s="8"/>
      <c r="G216" s="8"/>
      <c r="H216" s="10">
        <v>3.9</v>
      </c>
      <c r="I216" s="54">
        <f>VLOOKUP(A216,İstasyonlar!$A$2:$D$776,4,0)</f>
        <v>999999999</v>
      </c>
      <c r="J216" s="54">
        <f t="shared" si="7"/>
        <v>62</v>
      </c>
      <c r="K216" t="str">
        <f t="shared" si="6"/>
        <v>Sabit</v>
      </c>
    </row>
    <row r="217" spans="1:11" x14ac:dyDescent="0.3">
      <c r="A217" s="11" t="s">
        <v>53</v>
      </c>
      <c r="B217" s="48" t="s">
        <v>261</v>
      </c>
      <c r="C217" s="8" t="s">
        <v>677</v>
      </c>
      <c r="D217" s="8"/>
      <c r="E217" s="8"/>
      <c r="F217" s="8"/>
      <c r="G217" s="8"/>
      <c r="H217" s="10">
        <v>0.5</v>
      </c>
      <c r="I217" s="54">
        <f>VLOOKUP(A217,İstasyonlar!$A$2:$D$776,4,0)</f>
        <v>999999999</v>
      </c>
      <c r="J217" s="54">
        <f t="shared" si="7"/>
        <v>62</v>
      </c>
      <c r="K217" t="str">
        <f t="shared" si="6"/>
        <v>Sabit</v>
      </c>
    </row>
    <row r="218" spans="1:11" x14ac:dyDescent="0.3">
      <c r="A218" s="11" t="s">
        <v>53</v>
      </c>
      <c r="B218" s="48" t="s">
        <v>262</v>
      </c>
      <c r="C218" s="8" t="s">
        <v>677</v>
      </c>
      <c r="D218" s="8"/>
      <c r="E218" s="8"/>
      <c r="F218" s="8"/>
      <c r="G218" s="8"/>
      <c r="H218" s="10">
        <v>3.1</v>
      </c>
      <c r="I218" s="54">
        <f>VLOOKUP(A218,İstasyonlar!$A$2:$D$776,4,0)</f>
        <v>999999999</v>
      </c>
      <c r="J218" s="54">
        <f t="shared" si="7"/>
        <v>62</v>
      </c>
      <c r="K218" t="str">
        <f t="shared" si="6"/>
        <v>Sabit</v>
      </c>
    </row>
    <row r="219" spans="1:11" x14ac:dyDescent="0.3">
      <c r="A219" s="11" t="s">
        <v>53</v>
      </c>
      <c r="B219" s="48" t="s">
        <v>263</v>
      </c>
      <c r="C219" s="8" t="s">
        <v>677</v>
      </c>
      <c r="D219" s="8"/>
      <c r="E219" s="8"/>
      <c r="F219" s="8"/>
      <c r="G219" s="8"/>
      <c r="H219" s="10">
        <v>3.1</v>
      </c>
      <c r="I219" s="54">
        <f>VLOOKUP(A219,İstasyonlar!$A$2:$D$776,4,0)</f>
        <v>999999999</v>
      </c>
      <c r="J219" s="54">
        <f t="shared" si="7"/>
        <v>62</v>
      </c>
      <c r="K219" t="str">
        <f t="shared" si="6"/>
        <v>Sabit</v>
      </c>
    </row>
    <row r="220" spans="1:11" x14ac:dyDescent="0.3">
      <c r="A220" s="11" t="s">
        <v>53</v>
      </c>
      <c r="B220" s="48" t="s">
        <v>264</v>
      </c>
      <c r="C220" s="8" t="s">
        <v>677</v>
      </c>
      <c r="D220" s="8"/>
      <c r="E220" s="8"/>
      <c r="F220" s="8"/>
      <c r="G220" s="8"/>
      <c r="H220" s="10">
        <v>0.5</v>
      </c>
      <c r="I220" s="54">
        <f>VLOOKUP(A220,İstasyonlar!$A$2:$D$776,4,0)</f>
        <v>999999999</v>
      </c>
      <c r="J220" s="54">
        <f t="shared" si="7"/>
        <v>62</v>
      </c>
      <c r="K220" t="str">
        <f t="shared" si="6"/>
        <v>Sabit</v>
      </c>
    </row>
    <row r="221" spans="1:11" x14ac:dyDescent="0.3">
      <c r="A221" s="11" t="s">
        <v>54</v>
      </c>
      <c r="B221" s="48" t="s">
        <v>265</v>
      </c>
      <c r="C221" s="8" t="s">
        <v>668</v>
      </c>
      <c r="D221" s="8" t="s">
        <v>677</v>
      </c>
      <c r="E221" s="8"/>
      <c r="F221" s="8"/>
      <c r="G221" s="8"/>
      <c r="H221" s="10">
        <v>2.5</v>
      </c>
      <c r="I221" s="54">
        <f>VLOOKUP(A221,İstasyonlar!$A$2:$D$776,4,0)</f>
        <v>999999999</v>
      </c>
      <c r="J221" s="54">
        <f t="shared" si="7"/>
        <v>63</v>
      </c>
      <c r="K221" t="str">
        <f t="shared" si="6"/>
        <v>Sabit</v>
      </c>
    </row>
    <row r="222" spans="1:11" x14ac:dyDescent="0.3">
      <c r="A222" s="11" t="s">
        <v>54</v>
      </c>
      <c r="B222" s="48" t="s">
        <v>266</v>
      </c>
      <c r="C222" s="8" t="s">
        <v>668</v>
      </c>
      <c r="D222" s="8" t="s">
        <v>677</v>
      </c>
      <c r="E222" s="8"/>
      <c r="F222" s="8"/>
      <c r="G222" s="8"/>
      <c r="H222" s="10">
        <v>1.5</v>
      </c>
      <c r="I222" s="54">
        <f>VLOOKUP(A222,İstasyonlar!$A$2:$D$776,4,0)</f>
        <v>999999999</v>
      </c>
      <c r="J222" s="54">
        <f t="shared" si="7"/>
        <v>63</v>
      </c>
      <c r="K222" t="str">
        <f t="shared" si="6"/>
        <v>Sabit</v>
      </c>
    </row>
    <row r="223" spans="1:11" x14ac:dyDescent="0.3">
      <c r="A223" s="11" t="s">
        <v>54</v>
      </c>
      <c r="B223" s="48" t="s">
        <v>418</v>
      </c>
      <c r="C223" s="8" t="s">
        <v>668</v>
      </c>
      <c r="D223" s="8" t="s">
        <v>677</v>
      </c>
      <c r="E223" s="8"/>
      <c r="F223" s="8"/>
      <c r="G223" s="8"/>
      <c r="H223" s="10">
        <v>2.5</v>
      </c>
      <c r="I223" s="54">
        <f>VLOOKUP(A223,İstasyonlar!$A$2:$D$776,4,0)</f>
        <v>999999999</v>
      </c>
      <c r="J223" s="54">
        <f t="shared" si="7"/>
        <v>63</v>
      </c>
      <c r="K223" t="str">
        <f t="shared" si="6"/>
        <v>Sabit</v>
      </c>
    </row>
    <row r="224" spans="1:11" x14ac:dyDescent="0.3">
      <c r="A224" s="11" t="s">
        <v>54</v>
      </c>
      <c r="B224" s="48" t="s">
        <v>268</v>
      </c>
      <c r="C224" s="8" t="s">
        <v>668</v>
      </c>
      <c r="D224" s="8" t="s">
        <v>677</v>
      </c>
      <c r="E224" s="8"/>
      <c r="F224" s="8"/>
      <c r="G224" s="8"/>
      <c r="H224" s="10">
        <v>1</v>
      </c>
      <c r="I224" s="54">
        <f>VLOOKUP(A224,İstasyonlar!$A$2:$D$776,4,0)</f>
        <v>999999999</v>
      </c>
      <c r="J224" s="54">
        <f t="shared" si="7"/>
        <v>63</v>
      </c>
      <c r="K224" t="str">
        <f t="shared" si="6"/>
        <v>Sabit</v>
      </c>
    </row>
    <row r="225" spans="1:11" x14ac:dyDescent="0.3">
      <c r="A225" s="11" t="s">
        <v>55</v>
      </c>
      <c r="B225" s="48" t="s">
        <v>269</v>
      </c>
      <c r="C225" s="8" t="s">
        <v>678</v>
      </c>
      <c r="D225" s="8" t="s">
        <v>633</v>
      </c>
      <c r="E225" s="8"/>
      <c r="F225" s="8"/>
      <c r="G225" s="8"/>
      <c r="H225" s="10">
        <v>0.5</v>
      </c>
      <c r="I225" s="54">
        <f>VLOOKUP(A225,İstasyonlar!$A$2:$D$776,4,0)</f>
        <v>999999999</v>
      </c>
      <c r="J225" s="54">
        <f t="shared" si="7"/>
        <v>64</v>
      </c>
      <c r="K225" t="str">
        <f t="shared" si="6"/>
        <v>Sabit</v>
      </c>
    </row>
    <row r="226" spans="1:11" x14ac:dyDescent="0.3">
      <c r="A226" s="11" t="s">
        <v>55</v>
      </c>
      <c r="B226" s="48" t="s">
        <v>270</v>
      </c>
      <c r="C226" s="8" t="s">
        <v>678</v>
      </c>
      <c r="D226" s="8" t="s">
        <v>633</v>
      </c>
      <c r="E226" s="8"/>
      <c r="F226" s="8"/>
      <c r="G226" s="8"/>
      <c r="H226" s="10">
        <v>2.1</v>
      </c>
      <c r="I226" s="54">
        <f>VLOOKUP(A226,İstasyonlar!$A$2:$D$776,4,0)</f>
        <v>999999999</v>
      </c>
      <c r="J226" s="54">
        <f t="shared" si="7"/>
        <v>64</v>
      </c>
      <c r="K226" t="str">
        <f t="shared" si="6"/>
        <v>Sabit</v>
      </c>
    </row>
    <row r="227" spans="1:11" x14ac:dyDescent="0.3">
      <c r="A227" s="11" t="s">
        <v>55</v>
      </c>
      <c r="B227" s="48" t="s">
        <v>271</v>
      </c>
      <c r="C227" s="8" t="s">
        <v>678</v>
      </c>
      <c r="D227" s="8" t="s">
        <v>633</v>
      </c>
      <c r="E227" s="8"/>
      <c r="F227" s="8"/>
      <c r="G227" s="8"/>
      <c r="H227" s="10">
        <v>5.5</v>
      </c>
      <c r="I227" s="54">
        <f>VLOOKUP(A227,İstasyonlar!$A$2:$D$776,4,0)</f>
        <v>999999999</v>
      </c>
      <c r="J227" s="54">
        <f t="shared" si="7"/>
        <v>64</v>
      </c>
      <c r="K227" t="str">
        <f t="shared" si="6"/>
        <v>Sabit</v>
      </c>
    </row>
    <row r="228" spans="1:11" x14ac:dyDescent="0.3">
      <c r="A228" s="11" t="s">
        <v>55</v>
      </c>
      <c r="B228" s="48" t="s">
        <v>272</v>
      </c>
      <c r="C228" s="8" t="s">
        <v>678</v>
      </c>
      <c r="D228" s="8" t="s">
        <v>633</v>
      </c>
      <c r="E228" s="8"/>
      <c r="F228" s="8"/>
      <c r="G228" s="8"/>
      <c r="H228" s="10">
        <v>4</v>
      </c>
      <c r="I228" s="54">
        <f>VLOOKUP(A228,İstasyonlar!$A$2:$D$776,4,0)</f>
        <v>999999999</v>
      </c>
      <c r="J228" s="54">
        <f t="shared" si="7"/>
        <v>64</v>
      </c>
      <c r="K228" t="str">
        <f t="shared" si="6"/>
        <v>Sabit</v>
      </c>
    </row>
    <row r="229" spans="1:11" x14ac:dyDescent="0.3">
      <c r="A229" s="11" t="s">
        <v>55</v>
      </c>
      <c r="B229" s="48" t="s">
        <v>420</v>
      </c>
      <c r="C229" s="8" t="s">
        <v>678</v>
      </c>
      <c r="D229" s="8" t="s">
        <v>633</v>
      </c>
      <c r="E229" s="8"/>
      <c r="F229" s="8"/>
      <c r="G229" s="8"/>
      <c r="H229" s="10">
        <v>3.1</v>
      </c>
      <c r="I229" s="54">
        <f>VLOOKUP(A229,İstasyonlar!$A$2:$D$776,4,0)</f>
        <v>999999999</v>
      </c>
      <c r="J229" s="54">
        <f t="shared" si="7"/>
        <v>64</v>
      </c>
      <c r="K229" t="str">
        <f t="shared" si="6"/>
        <v>Sabit</v>
      </c>
    </row>
    <row r="230" spans="1:11" x14ac:dyDescent="0.3">
      <c r="A230" s="11" t="s">
        <v>55</v>
      </c>
      <c r="B230" s="48" t="s">
        <v>273</v>
      </c>
      <c r="C230" s="8" t="s">
        <v>678</v>
      </c>
      <c r="D230" s="8" t="s">
        <v>633</v>
      </c>
      <c r="E230" s="8"/>
      <c r="F230" s="8"/>
      <c r="G230" s="8"/>
      <c r="H230" s="10">
        <v>3</v>
      </c>
      <c r="I230" s="54">
        <f>VLOOKUP(A230,İstasyonlar!$A$2:$D$776,4,0)</f>
        <v>999999999</v>
      </c>
      <c r="J230" s="54">
        <f t="shared" si="7"/>
        <v>64</v>
      </c>
      <c r="K230" t="str">
        <f t="shared" si="6"/>
        <v>Sabit</v>
      </c>
    </row>
    <row r="231" spans="1:11" x14ac:dyDescent="0.3">
      <c r="A231" s="11" t="s">
        <v>55</v>
      </c>
      <c r="B231" s="48" t="s">
        <v>275</v>
      </c>
      <c r="C231" s="8" t="s">
        <v>678</v>
      </c>
      <c r="D231" s="8" t="s">
        <v>633</v>
      </c>
      <c r="E231" s="8"/>
      <c r="F231" s="8"/>
      <c r="G231" s="8"/>
      <c r="H231" s="10">
        <v>0.5</v>
      </c>
      <c r="I231" s="54">
        <f>VLOOKUP(A231,İstasyonlar!$A$2:$D$776,4,0)</f>
        <v>999999999</v>
      </c>
      <c r="J231" s="54">
        <f t="shared" si="7"/>
        <v>64</v>
      </c>
      <c r="K231" t="str">
        <f t="shared" si="6"/>
        <v>Sabit</v>
      </c>
    </row>
    <row r="232" spans="1:11" x14ac:dyDescent="0.3">
      <c r="A232" s="11" t="s">
        <v>55</v>
      </c>
      <c r="B232" s="48" t="s">
        <v>276</v>
      </c>
      <c r="C232" s="8" t="s">
        <v>678</v>
      </c>
      <c r="D232" s="8" t="s">
        <v>633</v>
      </c>
      <c r="E232" s="8"/>
      <c r="F232" s="8"/>
      <c r="G232" s="8"/>
      <c r="H232" s="10">
        <v>0.5</v>
      </c>
      <c r="I232" s="54">
        <f>VLOOKUP(A232,İstasyonlar!$A$2:$D$776,4,0)</f>
        <v>999999999</v>
      </c>
      <c r="J232" s="54">
        <f t="shared" si="7"/>
        <v>64</v>
      </c>
      <c r="K232" t="str">
        <f t="shared" si="6"/>
        <v>Sabit</v>
      </c>
    </row>
    <row r="233" spans="1:11" x14ac:dyDescent="0.3">
      <c r="A233" s="11" t="s">
        <v>56</v>
      </c>
      <c r="B233" s="48" t="s">
        <v>277</v>
      </c>
      <c r="C233" s="8" t="s">
        <v>679</v>
      </c>
      <c r="D233" s="8"/>
      <c r="E233" s="8"/>
      <c r="F233" s="8"/>
      <c r="G233" s="8"/>
      <c r="H233" s="10">
        <v>6.5</v>
      </c>
      <c r="I233" s="54">
        <f>VLOOKUP(A233,İstasyonlar!$A$2:$D$776,4,0)</f>
        <v>999999999</v>
      </c>
      <c r="J233" s="54">
        <f t="shared" si="7"/>
        <v>65</v>
      </c>
      <c r="K233" t="str">
        <f t="shared" si="6"/>
        <v>Sabit</v>
      </c>
    </row>
    <row r="234" spans="1:11" x14ac:dyDescent="0.3">
      <c r="A234" s="11" t="s">
        <v>56</v>
      </c>
      <c r="B234" s="48" t="s">
        <v>278</v>
      </c>
      <c r="C234" s="8" t="s">
        <v>679</v>
      </c>
      <c r="D234" s="8"/>
      <c r="E234" s="8"/>
      <c r="F234" s="8"/>
      <c r="G234" s="8"/>
      <c r="H234" s="10">
        <v>6.1</v>
      </c>
      <c r="I234" s="54">
        <f>VLOOKUP(A234,İstasyonlar!$A$2:$D$776,4,0)</f>
        <v>999999999</v>
      </c>
      <c r="J234" s="54">
        <f t="shared" si="7"/>
        <v>65</v>
      </c>
      <c r="K234" t="str">
        <f t="shared" si="6"/>
        <v>Sabit</v>
      </c>
    </row>
    <row r="235" spans="1:11" x14ac:dyDescent="0.3">
      <c r="A235" s="11" t="s">
        <v>56</v>
      </c>
      <c r="B235" s="48" t="s">
        <v>279</v>
      </c>
      <c r="C235" s="8" t="s">
        <v>679</v>
      </c>
      <c r="D235" s="8"/>
      <c r="E235" s="8"/>
      <c r="F235" s="8"/>
      <c r="G235" s="8"/>
      <c r="H235" s="10">
        <v>2.5</v>
      </c>
      <c r="I235" s="54">
        <f>VLOOKUP(A235,İstasyonlar!$A$2:$D$776,4,0)</f>
        <v>999999999</v>
      </c>
      <c r="J235" s="54">
        <f t="shared" si="7"/>
        <v>65</v>
      </c>
      <c r="K235" t="str">
        <f t="shared" si="6"/>
        <v>Sabit</v>
      </c>
    </row>
    <row r="236" spans="1:11" x14ac:dyDescent="0.3">
      <c r="A236" s="9" t="s">
        <v>383</v>
      </c>
      <c r="B236" s="47" t="s">
        <v>478</v>
      </c>
      <c r="C236" s="8" t="s">
        <v>646</v>
      </c>
      <c r="D236" s="8" t="s">
        <v>647</v>
      </c>
      <c r="E236" s="8"/>
      <c r="F236" s="8"/>
      <c r="G236" s="8"/>
      <c r="H236" s="10">
        <v>3.9</v>
      </c>
      <c r="I236" s="54">
        <f>VLOOKUP(A236,İstasyonlar!$A$2:$D$776,4,0)</f>
        <v>999999999</v>
      </c>
      <c r="J236" s="54">
        <f t="shared" si="7"/>
        <v>66</v>
      </c>
      <c r="K236" t="str">
        <f t="shared" si="6"/>
        <v>Sabit</v>
      </c>
    </row>
    <row r="237" spans="1:11" x14ac:dyDescent="0.3">
      <c r="A237" s="9" t="s">
        <v>383</v>
      </c>
      <c r="B237" s="47" t="s">
        <v>479</v>
      </c>
      <c r="C237" s="8" t="s">
        <v>646</v>
      </c>
      <c r="D237" s="8" t="s">
        <v>647</v>
      </c>
      <c r="E237" s="8"/>
      <c r="F237" s="8"/>
      <c r="G237" s="8"/>
      <c r="H237" s="10">
        <v>1.2</v>
      </c>
      <c r="I237" s="54">
        <f>VLOOKUP(A237,İstasyonlar!$A$2:$D$776,4,0)</f>
        <v>999999999</v>
      </c>
      <c r="J237" s="54">
        <f t="shared" si="7"/>
        <v>66</v>
      </c>
      <c r="K237" t="str">
        <f t="shared" si="6"/>
        <v>Sabit</v>
      </c>
    </row>
    <row r="238" spans="1:11" x14ac:dyDescent="0.3">
      <c r="A238" s="9" t="s">
        <v>383</v>
      </c>
      <c r="B238" s="47" t="s">
        <v>480</v>
      </c>
      <c r="C238" s="8" t="s">
        <v>646</v>
      </c>
      <c r="D238" s="8" t="s">
        <v>647</v>
      </c>
      <c r="E238" s="8"/>
      <c r="F238" s="8"/>
      <c r="G238" s="8"/>
      <c r="H238" s="10">
        <v>4.9000000000000004</v>
      </c>
      <c r="I238" s="54">
        <f>VLOOKUP(A238,İstasyonlar!$A$2:$D$776,4,0)</f>
        <v>999999999</v>
      </c>
      <c r="J238" s="54">
        <f t="shared" si="7"/>
        <v>66</v>
      </c>
      <c r="K238" t="str">
        <f t="shared" si="6"/>
        <v>Sabit</v>
      </c>
    </row>
    <row r="239" spans="1:11" x14ac:dyDescent="0.3">
      <c r="A239" s="9" t="s">
        <v>383</v>
      </c>
      <c r="B239" s="47" t="s">
        <v>481</v>
      </c>
      <c r="C239" s="8" t="s">
        <v>646</v>
      </c>
      <c r="D239" s="8" t="s">
        <v>647</v>
      </c>
      <c r="E239" s="8"/>
      <c r="F239" s="8"/>
      <c r="G239" s="8"/>
      <c r="H239" s="10">
        <v>2.8</v>
      </c>
      <c r="I239" s="54">
        <f>VLOOKUP(A239,İstasyonlar!$A$2:$D$776,4,0)</f>
        <v>999999999</v>
      </c>
      <c r="J239" s="54">
        <f t="shared" si="7"/>
        <v>66</v>
      </c>
      <c r="K239" t="str">
        <f t="shared" si="6"/>
        <v>Sabit</v>
      </c>
    </row>
    <row r="240" spans="1:11" x14ac:dyDescent="0.3">
      <c r="A240" s="9" t="s">
        <v>383</v>
      </c>
      <c r="B240" s="47" t="s">
        <v>482</v>
      </c>
      <c r="C240" s="8" t="s">
        <v>646</v>
      </c>
      <c r="D240" s="8" t="s">
        <v>647</v>
      </c>
      <c r="E240" s="8"/>
      <c r="F240" s="8"/>
      <c r="G240" s="8"/>
      <c r="H240" s="10">
        <v>3.1</v>
      </c>
      <c r="I240" s="54">
        <f>VLOOKUP(A240,İstasyonlar!$A$2:$D$776,4,0)</f>
        <v>999999999</v>
      </c>
      <c r="J240" s="54">
        <f t="shared" si="7"/>
        <v>66</v>
      </c>
      <c r="K240" t="str">
        <f t="shared" si="6"/>
        <v>Sabit</v>
      </c>
    </row>
    <row r="241" spans="1:11" x14ac:dyDescent="0.3">
      <c r="A241" s="9" t="s">
        <v>383</v>
      </c>
      <c r="B241" s="47" t="s">
        <v>498</v>
      </c>
      <c r="C241" s="8" t="s">
        <v>646</v>
      </c>
      <c r="D241" s="8" t="s">
        <v>647</v>
      </c>
      <c r="E241" s="8"/>
      <c r="F241" s="8"/>
      <c r="G241" s="8"/>
      <c r="H241" s="10">
        <v>4.5</v>
      </c>
      <c r="I241" s="54">
        <f>VLOOKUP(A241,İstasyonlar!$A$2:$D$776,4,0)</f>
        <v>999999999</v>
      </c>
      <c r="J241" s="54">
        <f t="shared" si="7"/>
        <v>66</v>
      </c>
      <c r="K241" t="str">
        <f t="shared" si="6"/>
        <v>Sabit</v>
      </c>
    </row>
    <row r="242" spans="1:11" x14ac:dyDescent="0.3">
      <c r="A242" s="9" t="s">
        <v>383</v>
      </c>
      <c r="B242" s="47" t="s">
        <v>483</v>
      </c>
      <c r="C242" s="8" t="s">
        <v>646</v>
      </c>
      <c r="D242" s="8" t="s">
        <v>647</v>
      </c>
      <c r="E242" s="8"/>
      <c r="F242" s="8"/>
      <c r="G242" s="8"/>
      <c r="H242" s="10">
        <v>1</v>
      </c>
      <c r="I242" s="54">
        <f>VLOOKUP(A242,İstasyonlar!$A$2:$D$776,4,0)</f>
        <v>999999999</v>
      </c>
      <c r="J242" s="54">
        <f t="shared" si="7"/>
        <v>66</v>
      </c>
      <c r="K242" t="str">
        <f t="shared" si="6"/>
        <v>Sabit</v>
      </c>
    </row>
    <row r="243" spans="1:11" ht="15.6" x14ac:dyDescent="0.3">
      <c r="A243" s="9" t="s">
        <v>432</v>
      </c>
      <c r="B243" s="47" t="s">
        <v>499</v>
      </c>
      <c r="C243" s="8" t="s">
        <v>688</v>
      </c>
      <c r="D243" s="8" t="s">
        <v>615</v>
      </c>
      <c r="E243" s="8" t="s">
        <v>689</v>
      </c>
      <c r="F243" s="8"/>
      <c r="G243" s="8"/>
      <c r="H243" s="12">
        <v>5.4</v>
      </c>
      <c r="I243" s="54">
        <f>VLOOKUP(A243,İstasyonlar!$A$2:$D$776,4,0)</f>
        <v>999999999</v>
      </c>
      <c r="J243" s="54">
        <f t="shared" si="7"/>
        <v>67</v>
      </c>
      <c r="K243" t="str">
        <f t="shared" si="6"/>
        <v>Sabit</v>
      </c>
    </row>
    <row r="244" spans="1:11" ht="15.6" x14ac:dyDescent="0.3">
      <c r="A244" s="9" t="s">
        <v>432</v>
      </c>
      <c r="B244" s="47" t="s">
        <v>500</v>
      </c>
      <c r="C244" s="8" t="s">
        <v>688</v>
      </c>
      <c r="D244" s="8" t="s">
        <v>615</v>
      </c>
      <c r="E244" s="8" t="s">
        <v>689</v>
      </c>
      <c r="F244" s="8"/>
      <c r="G244" s="8"/>
      <c r="H244" s="12">
        <v>2</v>
      </c>
      <c r="I244" s="54">
        <f>VLOOKUP(A244,İstasyonlar!$A$2:$D$776,4,0)</f>
        <v>999999999</v>
      </c>
      <c r="J244" s="54">
        <f t="shared" si="7"/>
        <v>67</v>
      </c>
      <c r="K244" t="str">
        <f t="shared" si="6"/>
        <v>Sabit</v>
      </c>
    </row>
    <row r="245" spans="1:11" ht="15.6" x14ac:dyDescent="0.3">
      <c r="A245" s="9" t="s">
        <v>432</v>
      </c>
      <c r="B245" s="47" t="s">
        <v>501</v>
      </c>
      <c r="C245" s="8" t="s">
        <v>688</v>
      </c>
      <c r="D245" s="8" t="s">
        <v>615</v>
      </c>
      <c r="E245" s="8" t="s">
        <v>689</v>
      </c>
      <c r="F245" s="8"/>
      <c r="G245" s="8"/>
      <c r="H245" s="12">
        <v>9.5</v>
      </c>
      <c r="I245" s="54">
        <f>VLOOKUP(A245,İstasyonlar!$A$2:$D$776,4,0)</f>
        <v>999999999</v>
      </c>
      <c r="J245" s="54">
        <f t="shared" si="7"/>
        <v>67</v>
      </c>
      <c r="K245" t="str">
        <f t="shared" si="6"/>
        <v>Sabit</v>
      </c>
    </row>
    <row r="246" spans="1:11" ht="15.6" x14ac:dyDescent="0.3">
      <c r="A246" s="9" t="s">
        <v>435</v>
      </c>
      <c r="B246" s="47" t="s">
        <v>512</v>
      </c>
      <c r="C246" s="8" t="s">
        <v>693</v>
      </c>
      <c r="D246" s="8" t="s">
        <v>694</v>
      </c>
      <c r="E246" s="8"/>
      <c r="F246" s="8" t="s">
        <v>615</v>
      </c>
      <c r="G246" s="8" t="s">
        <v>614</v>
      </c>
      <c r="H246" s="12">
        <v>2.5</v>
      </c>
      <c r="I246" s="54">
        <f>VLOOKUP(A246,İstasyonlar!$A$2:$D$776,4,0)</f>
        <v>999999999</v>
      </c>
      <c r="J246" s="54">
        <f t="shared" si="7"/>
        <v>68</v>
      </c>
      <c r="K246" t="str">
        <f t="shared" si="6"/>
        <v>Sabit</v>
      </c>
    </row>
    <row r="247" spans="1:11" ht="15.6" x14ac:dyDescent="0.3">
      <c r="A247" s="9" t="s">
        <v>435</v>
      </c>
      <c r="B247" s="47" t="s">
        <v>513</v>
      </c>
      <c r="C247" s="8" t="s">
        <v>693</v>
      </c>
      <c r="D247" s="8" t="s">
        <v>694</v>
      </c>
      <c r="E247" s="8"/>
      <c r="F247" s="8" t="s">
        <v>615</v>
      </c>
      <c r="G247" s="8" t="s">
        <v>614</v>
      </c>
      <c r="H247" s="12">
        <v>3.2</v>
      </c>
      <c r="I247" s="54">
        <f>VLOOKUP(A247,İstasyonlar!$A$2:$D$776,4,0)</f>
        <v>999999999</v>
      </c>
      <c r="J247" s="54">
        <f t="shared" si="7"/>
        <v>68</v>
      </c>
      <c r="K247" t="str">
        <f t="shared" si="6"/>
        <v>Sabit</v>
      </c>
    </row>
    <row r="248" spans="1:11" ht="15.6" x14ac:dyDescent="0.3">
      <c r="A248" s="9" t="s">
        <v>435</v>
      </c>
      <c r="B248" s="47" t="s">
        <v>514</v>
      </c>
      <c r="C248" s="8" t="s">
        <v>693</v>
      </c>
      <c r="D248" s="8" t="s">
        <v>694</v>
      </c>
      <c r="E248" s="8"/>
      <c r="F248" s="8" t="s">
        <v>615</v>
      </c>
      <c r="G248" s="8" t="s">
        <v>614</v>
      </c>
      <c r="H248" s="12">
        <v>3.2</v>
      </c>
      <c r="I248" s="54">
        <f>VLOOKUP(A248,İstasyonlar!$A$2:$D$776,4,0)</f>
        <v>999999999</v>
      </c>
      <c r="J248" s="54">
        <f t="shared" si="7"/>
        <v>68</v>
      </c>
      <c r="K248" t="str">
        <f t="shared" si="6"/>
        <v>Sabit</v>
      </c>
    </row>
    <row r="249" spans="1:11" ht="15.6" x14ac:dyDescent="0.3">
      <c r="A249" s="9" t="s">
        <v>435</v>
      </c>
      <c r="B249" s="47" t="s">
        <v>515</v>
      </c>
      <c r="C249" s="8" t="s">
        <v>693</v>
      </c>
      <c r="D249" s="8" t="s">
        <v>694</v>
      </c>
      <c r="E249" s="8"/>
      <c r="F249" s="8" t="s">
        <v>615</v>
      </c>
      <c r="G249" s="8" t="s">
        <v>614</v>
      </c>
      <c r="H249" s="12">
        <v>3.2</v>
      </c>
      <c r="I249" s="54">
        <f>VLOOKUP(A249,İstasyonlar!$A$2:$D$776,4,0)</f>
        <v>999999999</v>
      </c>
      <c r="J249" s="54">
        <f t="shared" si="7"/>
        <v>68</v>
      </c>
      <c r="K249" t="str">
        <f t="shared" si="6"/>
        <v>Sabit</v>
      </c>
    </row>
    <row r="250" spans="1:11" ht="15.6" x14ac:dyDescent="0.3">
      <c r="A250" s="9" t="s">
        <v>435</v>
      </c>
      <c r="B250" s="47" t="s">
        <v>516</v>
      </c>
      <c r="C250" s="8" t="s">
        <v>693</v>
      </c>
      <c r="D250" s="8" t="s">
        <v>694</v>
      </c>
      <c r="E250" s="8"/>
      <c r="F250" s="8" t="s">
        <v>615</v>
      </c>
      <c r="G250" s="8" t="s">
        <v>614</v>
      </c>
      <c r="H250" s="12">
        <v>3.2</v>
      </c>
      <c r="I250" s="54">
        <f>VLOOKUP(A250,İstasyonlar!$A$2:$D$776,4,0)</f>
        <v>999999999</v>
      </c>
      <c r="J250" s="54">
        <f t="shared" si="7"/>
        <v>68</v>
      </c>
      <c r="K250" t="str">
        <f t="shared" si="6"/>
        <v>Sabit</v>
      </c>
    </row>
    <row r="251" spans="1:11" ht="15.6" x14ac:dyDescent="0.3">
      <c r="A251" s="9" t="s">
        <v>435</v>
      </c>
      <c r="B251" s="47" t="s">
        <v>517</v>
      </c>
      <c r="C251" s="8" t="s">
        <v>693</v>
      </c>
      <c r="D251" s="8" t="s">
        <v>694</v>
      </c>
      <c r="E251" s="8"/>
      <c r="F251" s="8" t="s">
        <v>615</v>
      </c>
      <c r="G251" s="8" t="s">
        <v>614</v>
      </c>
      <c r="H251" s="12">
        <v>3.8</v>
      </c>
      <c r="I251" s="54">
        <f>VLOOKUP(A251,İstasyonlar!$A$2:$D$776,4,0)</f>
        <v>999999999</v>
      </c>
      <c r="J251" s="54">
        <f t="shared" si="7"/>
        <v>68</v>
      </c>
      <c r="K251" t="str">
        <f t="shared" si="6"/>
        <v>Sabit</v>
      </c>
    </row>
    <row r="252" spans="1:11" ht="15.6" x14ac:dyDescent="0.3">
      <c r="A252" s="9" t="s">
        <v>560</v>
      </c>
      <c r="B252" s="47" t="s">
        <v>561</v>
      </c>
      <c r="C252" s="8" t="s">
        <v>702</v>
      </c>
      <c r="D252" s="8" t="s">
        <v>703</v>
      </c>
      <c r="E252" s="8"/>
      <c r="F252" s="8"/>
      <c r="G252" s="8"/>
      <c r="H252" s="12">
        <v>5.4</v>
      </c>
      <c r="I252" s="54">
        <f>VLOOKUP(A252,İstasyonlar!$A$2:$D$776,4,0)</f>
        <v>999999999</v>
      </c>
      <c r="J252" s="54">
        <f t="shared" si="7"/>
        <v>69</v>
      </c>
      <c r="K252" t="str">
        <f t="shared" si="6"/>
        <v>Sabit</v>
      </c>
    </row>
    <row r="253" spans="1:11" ht="15.6" x14ac:dyDescent="0.3">
      <c r="A253" s="9" t="s">
        <v>560</v>
      </c>
      <c r="B253" s="47" t="s">
        <v>562</v>
      </c>
      <c r="C253" s="8" t="s">
        <v>702</v>
      </c>
      <c r="D253" s="8" t="s">
        <v>703</v>
      </c>
      <c r="E253" s="8"/>
      <c r="F253" s="8"/>
      <c r="G253" s="8"/>
      <c r="H253" s="12">
        <v>2.8</v>
      </c>
      <c r="I253" s="54">
        <f>VLOOKUP(A253,İstasyonlar!$A$2:$D$776,4,0)</f>
        <v>999999999</v>
      </c>
      <c r="J253" s="54">
        <f t="shared" si="7"/>
        <v>69</v>
      </c>
      <c r="K253" t="str">
        <f t="shared" si="6"/>
        <v>Sabit</v>
      </c>
    </row>
    <row r="254" spans="1:11" ht="15.6" x14ac:dyDescent="0.3">
      <c r="A254" s="9" t="s">
        <v>560</v>
      </c>
      <c r="B254" s="47" t="s">
        <v>563</v>
      </c>
      <c r="C254" s="8" t="s">
        <v>702</v>
      </c>
      <c r="D254" s="8" t="s">
        <v>703</v>
      </c>
      <c r="E254" s="8"/>
      <c r="F254" s="8"/>
      <c r="G254" s="8"/>
      <c r="H254" s="12">
        <v>2.8</v>
      </c>
      <c r="I254" s="54">
        <f>VLOOKUP(A254,İstasyonlar!$A$2:$D$776,4,0)</f>
        <v>999999999</v>
      </c>
      <c r="J254" s="54">
        <f t="shared" si="7"/>
        <v>69</v>
      </c>
      <c r="K254" t="str">
        <f t="shared" si="6"/>
        <v>Sabit</v>
      </c>
    </row>
    <row r="255" spans="1:11" ht="15.6" x14ac:dyDescent="0.3">
      <c r="A255" s="9" t="s">
        <v>564</v>
      </c>
      <c r="B255" s="47" t="s">
        <v>565</v>
      </c>
      <c r="C255" s="8" t="s">
        <v>703</v>
      </c>
      <c r="D255" s="8" t="s">
        <v>702</v>
      </c>
      <c r="E255" s="8" t="s">
        <v>707</v>
      </c>
      <c r="F255" s="8"/>
      <c r="G255" s="8"/>
      <c r="H255" s="12">
        <v>3.2</v>
      </c>
      <c r="I255" s="54">
        <f>VLOOKUP(A255,İstasyonlar!$A$2:$D$776,4,0)</f>
        <v>999999999</v>
      </c>
      <c r="J255" s="54">
        <f t="shared" si="7"/>
        <v>70</v>
      </c>
      <c r="K255" t="str">
        <f t="shared" si="6"/>
        <v>Sabit</v>
      </c>
    </row>
    <row r="256" spans="1:11" ht="15.6" x14ac:dyDescent="0.3">
      <c r="A256" s="9" t="s">
        <v>564</v>
      </c>
      <c r="B256" s="47" t="s">
        <v>566</v>
      </c>
      <c r="C256" s="8" t="s">
        <v>703</v>
      </c>
      <c r="D256" s="8" t="s">
        <v>702</v>
      </c>
      <c r="E256" s="8" t="s">
        <v>707</v>
      </c>
      <c r="F256" s="8"/>
      <c r="G256" s="8"/>
      <c r="H256" s="12">
        <v>3.2</v>
      </c>
      <c r="I256" s="54">
        <f>VLOOKUP(A256,İstasyonlar!$A$2:$D$776,4,0)</f>
        <v>999999999</v>
      </c>
      <c r="J256" s="54">
        <f t="shared" si="7"/>
        <v>70</v>
      </c>
      <c r="K256" t="str">
        <f t="shared" si="6"/>
        <v>Sabit</v>
      </c>
    </row>
    <row r="257" spans="1:11" ht="15.6" x14ac:dyDescent="0.3">
      <c r="A257" s="9" t="s">
        <v>564</v>
      </c>
      <c r="B257" s="47" t="s">
        <v>567</v>
      </c>
      <c r="C257" s="8" t="s">
        <v>703</v>
      </c>
      <c r="D257" s="8" t="s">
        <v>702</v>
      </c>
      <c r="E257" s="8" t="s">
        <v>707</v>
      </c>
      <c r="F257" s="8"/>
      <c r="G257" s="8"/>
      <c r="H257" s="12">
        <v>3.2</v>
      </c>
      <c r="I257" s="54">
        <f>VLOOKUP(A257,İstasyonlar!$A$2:$D$776,4,0)</f>
        <v>999999999</v>
      </c>
      <c r="J257" s="54">
        <f t="shared" si="7"/>
        <v>70</v>
      </c>
      <c r="K257" t="str">
        <f t="shared" si="6"/>
        <v>Sabit</v>
      </c>
    </row>
    <row r="258" spans="1:11" ht="15.6" x14ac:dyDescent="0.3">
      <c r="A258" s="9" t="s">
        <v>568</v>
      </c>
      <c r="B258" s="47" t="s">
        <v>569</v>
      </c>
      <c r="C258" s="8" t="s">
        <v>707</v>
      </c>
      <c r="D258" s="8"/>
      <c r="E258" s="8" t="s">
        <v>702</v>
      </c>
      <c r="F258" s="8"/>
      <c r="G258" s="8"/>
      <c r="H258" s="12">
        <v>5.8</v>
      </c>
      <c r="I258" s="54">
        <f>VLOOKUP(A258,İstasyonlar!$A$2:$D$776,4,0)</f>
        <v>999999999</v>
      </c>
      <c r="J258" s="54">
        <f t="shared" si="7"/>
        <v>71</v>
      </c>
      <c r="K258" t="str">
        <f t="shared" ref="K258:K263" si="8">IF(I258=1000000,"","Sabit")</f>
        <v>Sabit</v>
      </c>
    </row>
    <row r="259" spans="1:11" ht="15.6" x14ac:dyDescent="0.3">
      <c r="A259" s="9" t="s">
        <v>568</v>
      </c>
      <c r="B259" s="47" t="s">
        <v>570</v>
      </c>
      <c r="C259" s="8" t="s">
        <v>707</v>
      </c>
      <c r="D259" s="8"/>
      <c r="E259" s="8" t="s">
        <v>702</v>
      </c>
      <c r="F259" s="8"/>
      <c r="G259" s="8"/>
      <c r="H259" s="12">
        <v>2.4</v>
      </c>
      <c r="I259" s="54">
        <f>VLOOKUP(A259,İstasyonlar!$A$2:$D$776,4,0)</f>
        <v>999999999</v>
      </c>
      <c r="J259" s="54">
        <f t="shared" si="7"/>
        <v>71</v>
      </c>
      <c r="K259" t="str">
        <f t="shared" si="8"/>
        <v>Sabit</v>
      </c>
    </row>
    <row r="260" spans="1:11" ht="15.6" x14ac:dyDescent="0.3">
      <c r="A260" s="9" t="s">
        <v>568</v>
      </c>
      <c r="B260" s="47" t="s">
        <v>571</v>
      </c>
      <c r="C260" s="8" t="s">
        <v>707</v>
      </c>
      <c r="D260" s="8"/>
      <c r="E260" s="8" t="s">
        <v>702</v>
      </c>
      <c r="F260" s="8"/>
      <c r="G260" s="8"/>
      <c r="H260" s="12">
        <v>2.4</v>
      </c>
      <c r="I260" s="54">
        <f>VLOOKUP(A260,İstasyonlar!$A$2:$D$776,4,0)</f>
        <v>999999999</v>
      </c>
      <c r="J260" s="54">
        <f t="shared" si="7"/>
        <v>71</v>
      </c>
      <c r="K260" t="str">
        <f t="shared" si="8"/>
        <v>Sabit</v>
      </c>
    </row>
    <row r="261" spans="1:11" ht="15.6" x14ac:dyDescent="0.3">
      <c r="A261" s="9" t="s">
        <v>568</v>
      </c>
      <c r="B261" s="47" t="s">
        <v>572</v>
      </c>
      <c r="C261" s="8" t="s">
        <v>707</v>
      </c>
      <c r="D261" s="8"/>
      <c r="E261" s="8" t="s">
        <v>702</v>
      </c>
      <c r="F261" s="8"/>
      <c r="G261" s="8"/>
      <c r="H261" s="12">
        <v>2.4</v>
      </c>
      <c r="I261" s="54">
        <f>VLOOKUP(A261,İstasyonlar!$A$2:$D$776,4,0)</f>
        <v>999999999</v>
      </c>
      <c r="J261" s="54">
        <f t="shared" si="7"/>
        <v>71</v>
      </c>
      <c r="K261" t="str">
        <f t="shared" si="8"/>
        <v>Sabit</v>
      </c>
    </row>
    <row r="262" spans="1:11" ht="15.6" x14ac:dyDescent="0.3">
      <c r="A262" s="9" t="s">
        <v>578</v>
      </c>
      <c r="B262" s="47" t="s">
        <v>579</v>
      </c>
      <c r="C262" s="8" t="s">
        <v>715</v>
      </c>
      <c r="D262" s="8" t="s">
        <v>716</v>
      </c>
      <c r="E262" s="8"/>
      <c r="F262" s="8"/>
      <c r="G262" s="8"/>
      <c r="H262" s="12">
        <v>9.5</v>
      </c>
      <c r="I262" s="54">
        <f>VLOOKUP(A262,İstasyonlar!$A$2:$D$776,4,0)</f>
        <v>999999999</v>
      </c>
      <c r="J262" s="54">
        <f t="shared" si="7"/>
        <v>72</v>
      </c>
      <c r="K262" t="str">
        <f t="shared" si="8"/>
        <v>Sabit</v>
      </c>
    </row>
    <row r="263" spans="1:11" ht="15.6" x14ac:dyDescent="0.3">
      <c r="A263" s="9" t="s">
        <v>580</v>
      </c>
      <c r="B263" s="47" t="s">
        <v>581</v>
      </c>
      <c r="C263" s="8" t="s">
        <v>716</v>
      </c>
      <c r="D263" s="8" t="s">
        <v>715</v>
      </c>
      <c r="E263" s="8" t="s">
        <v>718</v>
      </c>
      <c r="F263" s="8"/>
      <c r="G263" s="8"/>
      <c r="H263" s="12">
        <v>9.5</v>
      </c>
      <c r="I263" s="54">
        <f>VLOOKUP(A263,İstasyonlar!$A$2:$D$776,4,0)</f>
        <v>999999999</v>
      </c>
      <c r="J263" s="54">
        <f t="shared" si="7"/>
        <v>73</v>
      </c>
      <c r="K263" t="str">
        <f t="shared" si="8"/>
        <v>Sabit</v>
      </c>
    </row>
    <row r="264" spans="1:11" x14ac:dyDescent="0.3">
      <c r="A264"/>
      <c r="B264"/>
      <c r="C264"/>
      <c r="D264"/>
      <c r="E264"/>
      <c r="F264"/>
      <c r="G264"/>
    </row>
    <row r="265" spans="1:11" x14ac:dyDescent="0.3">
      <c r="A265"/>
      <c r="B265"/>
      <c r="C265"/>
      <c r="D265"/>
      <c r="E265"/>
      <c r="F265"/>
      <c r="G265"/>
    </row>
    <row r="266" spans="1:11" x14ac:dyDescent="0.3">
      <c r="A266"/>
      <c r="B266"/>
      <c r="C266"/>
      <c r="D266"/>
      <c r="E266"/>
      <c r="F266"/>
      <c r="G266"/>
    </row>
    <row r="267" spans="1:11" x14ac:dyDescent="0.3">
      <c r="A267"/>
      <c r="B267"/>
      <c r="C267"/>
      <c r="D267"/>
      <c r="E267"/>
      <c r="F267"/>
      <c r="G267"/>
    </row>
    <row r="268" spans="1:11" x14ac:dyDescent="0.3">
      <c r="A268"/>
      <c r="B268"/>
      <c r="C268"/>
      <c r="D268"/>
      <c r="E268"/>
      <c r="F268"/>
      <c r="G268"/>
    </row>
    <row r="269" spans="1:11" x14ac:dyDescent="0.3">
      <c r="A269"/>
      <c r="B269"/>
      <c r="C269"/>
      <c r="D269"/>
      <c r="E269"/>
      <c r="F269"/>
      <c r="G269"/>
    </row>
    <row r="270" spans="1:11" x14ac:dyDescent="0.3">
      <c r="A270"/>
      <c r="B270"/>
      <c r="C270"/>
      <c r="D270"/>
      <c r="E270"/>
      <c r="F270"/>
      <c r="G270"/>
    </row>
    <row r="271" spans="1:11" x14ac:dyDescent="0.3">
      <c r="A271"/>
      <c r="B271"/>
      <c r="C271"/>
      <c r="D271"/>
      <c r="E271"/>
      <c r="F271"/>
      <c r="G271"/>
    </row>
    <row r="272" spans="1:11" x14ac:dyDescent="0.3">
      <c r="A272"/>
      <c r="B272"/>
      <c r="C272"/>
      <c r="D272"/>
      <c r="E272"/>
      <c r="F272"/>
      <c r="G272"/>
    </row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</sheetData>
  <autoFilter ref="A1:K263" xr:uid="{A51B338F-DEB8-4B6D-8346-D88DE41638DA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0EE74-ECD2-4FA1-BDB4-41D8463B52BE}">
  <dimension ref="A1:M650"/>
  <sheetViews>
    <sheetView topLeftCell="A137" zoomScale="88" zoomScaleNormal="85" workbookViewId="0">
      <selection activeCell="A156" sqref="A156"/>
    </sheetView>
  </sheetViews>
  <sheetFormatPr defaultRowHeight="14.4" x14ac:dyDescent="0.3"/>
  <cols>
    <col min="1" max="2" width="27.21875" style="1" customWidth="1"/>
    <col min="3" max="7" width="15.21875" style="1" customWidth="1"/>
    <col min="9" max="9" width="10.5546875" bestFit="1" customWidth="1"/>
    <col min="10" max="10" width="8.5546875" customWidth="1"/>
  </cols>
  <sheetData>
    <row r="1" spans="1:13" ht="42.75" customHeight="1" x14ac:dyDescent="0.3">
      <c r="A1" s="55" t="s">
        <v>59</v>
      </c>
      <c r="B1" s="55" t="s">
        <v>60</v>
      </c>
      <c r="C1" s="46" t="s">
        <v>312</v>
      </c>
      <c r="D1" s="46" t="s">
        <v>280</v>
      </c>
      <c r="E1" s="46" t="s">
        <v>281</v>
      </c>
      <c r="F1" s="46" t="s">
        <v>282</v>
      </c>
      <c r="G1" s="46" t="s">
        <v>283</v>
      </c>
      <c r="H1" s="45" t="s">
        <v>61</v>
      </c>
      <c r="I1" s="46" t="s">
        <v>731</v>
      </c>
      <c r="J1" s="46" t="s">
        <v>462</v>
      </c>
    </row>
    <row r="2" spans="1:13" x14ac:dyDescent="0.3">
      <c r="A2" s="9" t="s">
        <v>0</v>
      </c>
      <c r="B2" s="47" t="s">
        <v>62</v>
      </c>
      <c r="C2" s="8" t="s">
        <v>594</v>
      </c>
      <c r="D2" s="8" t="s">
        <v>595</v>
      </c>
      <c r="E2" s="8" t="s">
        <v>596</v>
      </c>
      <c r="F2" s="8"/>
      <c r="G2" s="8"/>
      <c r="H2" s="10">
        <v>6.1</v>
      </c>
      <c r="I2" s="54">
        <f>VLOOKUP(A2,İstasyonlar!$A$2:$D$776,4,0)</f>
        <v>1000000</v>
      </c>
      <c r="J2" s="54">
        <v>1</v>
      </c>
      <c r="K2" t="str">
        <f t="shared" ref="K2:K65" si="0">IF(I2=1000000,"","Sabit")</f>
        <v/>
      </c>
      <c r="M2">
        <v>1000000</v>
      </c>
    </row>
    <row r="3" spans="1:13" x14ac:dyDescent="0.3">
      <c r="A3" s="9" t="s">
        <v>0</v>
      </c>
      <c r="B3" s="47" t="s">
        <v>63</v>
      </c>
      <c r="C3" s="8" t="s">
        <v>594</v>
      </c>
      <c r="D3" s="8" t="s">
        <v>595</v>
      </c>
      <c r="E3" s="8" t="s">
        <v>596</v>
      </c>
      <c r="F3" s="8"/>
      <c r="G3" s="8"/>
      <c r="H3" s="10">
        <v>6.1</v>
      </c>
      <c r="I3" s="54">
        <f>VLOOKUP(A3,İstasyonlar!$A$2:$D$776,4,0)</f>
        <v>1000000</v>
      </c>
      <c r="J3" s="54">
        <f t="shared" ref="J3:J66" si="1">IF(A3=A2, J2, J2+1)</f>
        <v>1</v>
      </c>
      <c r="K3" t="str">
        <f t="shared" si="0"/>
        <v/>
      </c>
    </row>
    <row r="4" spans="1:13" x14ac:dyDescent="0.3">
      <c r="A4" s="9" t="s">
        <v>1</v>
      </c>
      <c r="B4" s="47" t="s">
        <v>64</v>
      </c>
      <c r="C4" s="8" t="s">
        <v>596</v>
      </c>
      <c r="D4" s="8" t="s">
        <v>598</v>
      </c>
      <c r="E4" s="8" t="s">
        <v>594</v>
      </c>
      <c r="F4" s="8"/>
      <c r="G4" s="8"/>
      <c r="H4" s="10">
        <v>5.8</v>
      </c>
      <c r="I4" s="54">
        <f>VLOOKUP(A4,İstasyonlar!$A$2:$D$776,4,0)</f>
        <v>999999999</v>
      </c>
      <c r="J4" s="54">
        <f t="shared" si="1"/>
        <v>2</v>
      </c>
      <c r="K4" t="str">
        <f t="shared" si="0"/>
        <v>Sabit</v>
      </c>
    </row>
    <row r="5" spans="1:13" x14ac:dyDescent="0.3">
      <c r="A5" s="9" t="s">
        <v>1</v>
      </c>
      <c r="B5" s="47" t="s">
        <v>65</v>
      </c>
      <c r="C5" s="8" t="s">
        <v>596</v>
      </c>
      <c r="D5" s="8" t="s">
        <v>598</v>
      </c>
      <c r="E5" s="8" t="s">
        <v>594</v>
      </c>
      <c r="F5" s="8"/>
      <c r="G5" s="8"/>
      <c r="H5" s="10">
        <v>6.4</v>
      </c>
      <c r="I5" s="54">
        <f>VLOOKUP(A5,İstasyonlar!$A$2:$D$776,4,0)</f>
        <v>999999999</v>
      </c>
      <c r="J5" s="54">
        <f t="shared" si="1"/>
        <v>2</v>
      </c>
      <c r="K5" t="str">
        <f t="shared" si="0"/>
        <v>Sabit</v>
      </c>
    </row>
    <row r="6" spans="1:13" x14ac:dyDescent="0.3">
      <c r="A6" s="9" t="s">
        <v>2</v>
      </c>
      <c r="B6" s="47" t="s">
        <v>286</v>
      </c>
      <c r="C6" s="8" t="s">
        <v>598</v>
      </c>
      <c r="D6" s="8" t="s">
        <v>596</v>
      </c>
      <c r="E6" s="8"/>
      <c r="F6" s="8"/>
      <c r="G6" s="8"/>
      <c r="H6" s="10">
        <v>6.1</v>
      </c>
      <c r="I6" s="54">
        <f>VLOOKUP(A6,İstasyonlar!$A$2:$D$776,4,0)</f>
        <v>999999999</v>
      </c>
      <c r="J6" s="54">
        <f t="shared" si="1"/>
        <v>3</v>
      </c>
      <c r="K6" t="str">
        <f t="shared" si="0"/>
        <v>Sabit</v>
      </c>
    </row>
    <row r="7" spans="1:13" x14ac:dyDescent="0.3">
      <c r="A7" s="9" t="s">
        <v>2</v>
      </c>
      <c r="B7" s="47" t="s">
        <v>463</v>
      </c>
      <c r="C7" s="8" t="s">
        <v>598</v>
      </c>
      <c r="D7" s="8" t="s">
        <v>596</v>
      </c>
      <c r="E7" s="8"/>
      <c r="F7" s="8"/>
      <c r="G7" s="8"/>
      <c r="H7" s="10">
        <v>2.8</v>
      </c>
      <c r="I7" s="54">
        <f>VLOOKUP(A7,İstasyonlar!$A$2:$D$776,4,0)</f>
        <v>999999999</v>
      </c>
      <c r="J7" s="54">
        <f t="shared" si="1"/>
        <v>3</v>
      </c>
      <c r="K7" t="str">
        <f t="shared" si="0"/>
        <v>Sabit</v>
      </c>
    </row>
    <row r="8" spans="1:13" x14ac:dyDescent="0.3">
      <c r="A8" s="9" t="s">
        <v>2</v>
      </c>
      <c r="B8" s="47" t="s">
        <v>287</v>
      </c>
      <c r="C8" s="8" t="s">
        <v>598</v>
      </c>
      <c r="D8" s="8" t="s">
        <v>596</v>
      </c>
      <c r="E8" s="8"/>
      <c r="F8" s="8"/>
      <c r="G8" s="8"/>
      <c r="H8" s="10">
        <v>6.4</v>
      </c>
      <c r="I8" s="54">
        <f>VLOOKUP(A8,İstasyonlar!$A$2:$D$776,4,0)</f>
        <v>999999999</v>
      </c>
      <c r="J8" s="54">
        <f t="shared" si="1"/>
        <v>3</v>
      </c>
      <c r="K8" t="str">
        <f t="shared" si="0"/>
        <v>Sabit</v>
      </c>
    </row>
    <row r="9" spans="1:13" x14ac:dyDescent="0.3">
      <c r="A9" s="9" t="s">
        <v>2</v>
      </c>
      <c r="B9" s="47" t="s">
        <v>288</v>
      </c>
      <c r="C9" s="8" t="s">
        <v>598</v>
      </c>
      <c r="D9" s="8" t="s">
        <v>596</v>
      </c>
      <c r="E9" s="8"/>
      <c r="F9" s="8"/>
      <c r="G9" s="8"/>
      <c r="H9" s="10">
        <v>1</v>
      </c>
      <c r="I9" s="54">
        <f>VLOOKUP(A9,İstasyonlar!$A$2:$D$776,4,0)</f>
        <v>999999999</v>
      </c>
      <c r="J9" s="54">
        <f t="shared" si="1"/>
        <v>3</v>
      </c>
      <c r="K9" t="str">
        <f t="shared" si="0"/>
        <v>Sabit</v>
      </c>
    </row>
    <row r="10" spans="1:13" x14ac:dyDescent="0.3">
      <c r="A10" s="9" t="s">
        <v>3</v>
      </c>
      <c r="B10" s="47" t="s">
        <v>66</v>
      </c>
      <c r="C10" s="8" t="s">
        <v>599</v>
      </c>
      <c r="D10" s="56" t="s">
        <v>600</v>
      </c>
      <c r="E10" s="8"/>
      <c r="F10" s="8"/>
      <c r="G10" s="8"/>
      <c r="H10" s="10">
        <v>9.5</v>
      </c>
      <c r="I10" s="54">
        <f>VLOOKUP(A10,İstasyonlar!$A$2:$D$776,4,0)</f>
        <v>1000000</v>
      </c>
      <c r="J10" s="54">
        <f t="shared" si="1"/>
        <v>4</v>
      </c>
      <c r="K10" t="str">
        <f t="shared" si="0"/>
        <v/>
      </c>
    </row>
    <row r="11" spans="1:13" x14ac:dyDescent="0.3">
      <c r="A11" s="9" t="s">
        <v>3</v>
      </c>
      <c r="B11" s="47" t="s">
        <v>67</v>
      </c>
      <c r="C11" s="8" t="s">
        <v>599</v>
      </c>
      <c r="D11" s="56" t="s">
        <v>600</v>
      </c>
      <c r="E11" s="8"/>
      <c r="F11" s="8"/>
      <c r="G11" s="8"/>
      <c r="H11" s="10">
        <v>3.1</v>
      </c>
      <c r="I11" s="54">
        <f>VLOOKUP(A11,İstasyonlar!$A$2:$D$776,4,0)</f>
        <v>1000000</v>
      </c>
      <c r="J11" s="54">
        <f t="shared" si="1"/>
        <v>4</v>
      </c>
      <c r="K11" t="str">
        <f t="shared" si="0"/>
        <v/>
      </c>
    </row>
    <row r="12" spans="1:13" x14ac:dyDescent="0.3">
      <c r="A12" s="9" t="s">
        <v>5</v>
      </c>
      <c r="B12" s="47" t="s">
        <v>327</v>
      </c>
      <c r="C12" s="8" t="s">
        <v>601</v>
      </c>
      <c r="D12" s="57" t="s">
        <v>602</v>
      </c>
      <c r="E12" s="8" t="s">
        <v>595</v>
      </c>
      <c r="F12" s="8"/>
      <c r="G12" s="8"/>
      <c r="H12" s="10">
        <v>4.0999999999999996</v>
      </c>
      <c r="I12" s="54">
        <f>VLOOKUP(A12,İstasyonlar!$A$2:$D$776,4,0)</f>
        <v>1000000</v>
      </c>
      <c r="J12" s="54">
        <f t="shared" si="1"/>
        <v>5</v>
      </c>
      <c r="K12" t="str">
        <f t="shared" si="0"/>
        <v/>
      </c>
    </row>
    <row r="13" spans="1:13" x14ac:dyDescent="0.3">
      <c r="A13" s="9" t="s">
        <v>5</v>
      </c>
      <c r="B13" s="47" t="s">
        <v>68</v>
      </c>
      <c r="C13" s="8" t="s">
        <v>601</v>
      </c>
      <c r="D13" s="8" t="s">
        <v>602</v>
      </c>
      <c r="E13" s="8" t="s">
        <v>595</v>
      </c>
      <c r="F13" s="8"/>
      <c r="G13" s="8"/>
      <c r="H13" s="10">
        <v>6.5</v>
      </c>
      <c r="I13" s="54">
        <f>VLOOKUP(A13,İstasyonlar!$A$2:$D$776,4,0)</f>
        <v>1000000</v>
      </c>
      <c r="J13" s="54">
        <f t="shared" si="1"/>
        <v>5</v>
      </c>
      <c r="K13" t="str">
        <f t="shared" si="0"/>
        <v/>
      </c>
    </row>
    <row r="14" spans="1:13" x14ac:dyDescent="0.3">
      <c r="A14" s="9" t="s">
        <v>5</v>
      </c>
      <c r="B14" s="47" t="s">
        <v>69</v>
      </c>
      <c r="C14" s="8" t="s">
        <v>601</v>
      </c>
      <c r="D14" s="8" t="s">
        <v>602</v>
      </c>
      <c r="E14" s="8" t="s">
        <v>595</v>
      </c>
      <c r="F14" s="8"/>
      <c r="G14" s="8"/>
      <c r="H14" s="10">
        <v>3.1</v>
      </c>
      <c r="I14" s="54">
        <f>VLOOKUP(A14,İstasyonlar!$A$2:$D$776,4,0)</f>
        <v>1000000</v>
      </c>
      <c r="J14" s="54">
        <f t="shared" si="1"/>
        <v>5</v>
      </c>
      <c r="K14" t="str">
        <f t="shared" si="0"/>
        <v/>
      </c>
    </row>
    <row r="15" spans="1:13" x14ac:dyDescent="0.3">
      <c r="A15" s="9" t="s">
        <v>5</v>
      </c>
      <c r="B15" s="47" t="s">
        <v>70</v>
      </c>
      <c r="C15" s="8" t="s">
        <v>601</v>
      </c>
      <c r="D15" s="8" t="s">
        <v>602</v>
      </c>
      <c r="E15" s="8" t="s">
        <v>595</v>
      </c>
      <c r="F15" s="8"/>
      <c r="G15" s="8"/>
      <c r="H15" s="10">
        <v>0.3</v>
      </c>
      <c r="I15" s="54">
        <f>VLOOKUP(A15,İstasyonlar!$A$2:$D$776,4,0)</f>
        <v>1000000</v>
      </c>
      <c r="J15" s="54">
        <f t="shared" si="1"/>
        <v>5</v>
      </c>
      <c r="K15" t="str">
        <f t="shared" si="0"/>
        <v/>
      </c>
    </row>
    <row r="16" spans="1:13" x14ac:dyDescent="0.3">
      <c r="A16" s="9" t="s">
        <v>4</v>
      </c>
      <c r="B16" s="47" t="s">
        <v>71</v>
      </c>
      <c r="C16" s="8" t="s">
        <v>605</v>
      </c>
      <c r="D16" s="8" t="s">
        <v>644</v>
      </c>
      <c r="E16" s="8" t="s">
        <v>604</v>
      </c>
      <c r="F16" s="8"/>
      <c r="G16" s="8"/>
      <c r="H16" s="10">
        <v>2.37</v>
      </c>
      <c r="I16" s="54">
        <f>VLOOKUP(A16,İstasyonlar!$A$2:$D$776,4,0)</f>
        <v>1000000</v>
      </c>
      <c r="J16" s="54">
        <f t="shared" si="1"/>
        <v>6</v>
      </c>
      <c r="K16" t="str">
        <f t="shared" si="0"/>
        <v/>
      </c>
    </row>
    <row r="17" spans="1:11" x14ac:dyDescent="0.3">
      <c r="A17" s="9" t="s">
        <v>289</v>
      </c>
      <c r="B17" s="47" t="s">
        <v>290</v>
      </c>
      <c r="C17" s="8" t="s">
        <v>604</v>
      </c>
      <c r="D17" s="8" t="s">
        <v>605</v>
      </c>
      <c r="E17" s="8"/>
      <c r="F17" s="8"/>
      <c r="G17" s="8"/>
      <c r="H17" s="10">
        <v>4.3</v>
      </c>
      <c r="I17" s="54">
        <f>VLOOKUP(A17,İstasyonlar!$A$2:$D$776,4,0)</f>
        <v>1000000</v>
      </c>
      <c r="J17" s="54">
        <f t="shared" si="1"/>
        <v>7</v>
      </c>
      <c r="K17" t="str">
        <f t="shared" si="0"/>
        <v/>
      </c>
    </row>
    <row r="18" spans="1:11" x14ac:dyDescent="0.3">
      <c r="A18" s="9" t="s">
        <v>329</v>
      </c>
      <c r="B18" s="47" t="s">
        <v>333</v>
      </c>
      <c r="C18" s="8" t="s">
        <v>595</v>
      </c>
      <c r="D18" s="8"/>
      <c r="E18" s="8" t="s">
        <v>603</v>
      </c>
      <c r="F18" s="8" t="s">
        <v>596</v>
      </c>
      <c r="G18" s="8"/>
      <c r="H18" s="10">
        <v>3.1</v>
      </c>
      <c r="I18" s="54">
        <f>VLOOKUP(A18,İstasyonlar!$A$2:$D$776,4,0)</f>
        <v>1000000</v>
      </c>
      <c r="J18" s="54">
        <f t="shared" si="1"/>
        <v>8</v>
      </c>
      <c r="K18" t="str">
        <f t="shared" si="0"/>
        <v/>
      </c>
    </row>
    <row r="19" spans="1:11" x14ac:dyDescent="0.3">
      <c r="A19" s="9" t="s">
        <v>329</v>
      </c>
      <c r="B19" s="47" t="s">
        <v>330</v>
      </c>
      <c r="C19" s="8" t="s">
        <v>595</v>
      </c>
      <c r="D19" s="8"/>
      <c r="E19" s="8" t="s">
        <v>603</v>
      </c>
      <c r="F19" s="8" t="s">
        <v>596</v>
      </c>
      <c r="G19" s="8"/>
      <c r="H19" s="10">
        <v>6.5</v>
      </c>
      <c r="I19" s="54">
        <f>VLOOKUP(A19,İstasyonlar!$A$2:$D$776,4,0)</f>
        <v>1000000</v>
      </c>
      <c r="J19" s="54">
        <f t="shared" si="1"/>
        <v>8</v>
      </c>
      <c r="K19" t="str">
        <f t="shared" si="0"/>
        <v/>
      </c>
    </row>
    <row r="20" spans="1:11" x14ac:dyDescent="0.3">
      <c r="A20" s="9" t="s">
        <v>329</v>
      </c>
      <c r="B20" s="47" t="s">
        <v>331</v>
      </c>
      <c r="C20" s="8" t="s">
        <v>595</v>
      </c>
      <c r="D20" s="8"/>
      <c r="E20" s="8" t="s">
        <v>603</v>
      </c>
      <c r="F20" s="8" t="s">
        <v>596</v>
      </c>
      <c r="G20" s="8"/>
      <c r="H20" s="10">
        <v>2.8</v>
      </c>
      <c r="I20" s="54">
        <f>VLOOKUP(A20,İstasyonlar!$A$2:$D$776,4,0)</f>
        <v>1000000</v>
      </c>
      <c r="J20" s="54">
        <f t="shared" si="1"/>
        <v>8</v>
      </c>
      <c r="K20" t="str">
        <f t="shared" si="0"/>
        <v/>
      </c>
    </row>
    <row r="21" spans="1:11" x14ac:dyDescent="0.3">
      <c r="A21" s="9" t="s">
        <v>329</v>
      </c>
      <c r="B21" s="47" t="s">
        <v>332</v>
      </c>
      <c r="C21" s="8" t="s">
        <v>595</v>
      </c>
      <c r="D21" s="8"/>
      <c r="E21" s="8" t="s">
        <v>603</v>
      </c>
      <c r="F21" s="8" t="s">
        <v>596</v>
      </c>
      <c r="G21" s="8"/>
      <c r="H21" s="10">
        <v>3.1</v>
      </c>
      <c r="I21" s="54">
        <f>VLOOKUP(A21,İstasyonlar!$A$2:$D$776,4,0)</f>
        <v>1000000</v>
      </c>
      <c r="J21" s="54">
        <f t="shared" si="1"/>
        <v>8</v>
      </c>
      <c r="K21" t="str">
        <f t="shared" si="0"/>
        <v/>
      </c>
    </row>
    <row r="22" spans="1:11" x14ac:dyDescent="0.3">
      <c r="A22" s="9" t="s">
        <v>438</v>
      </c>
      <c r="B22" s="47" t="s">
        <v>439</v>
      </c>
      <c r="C22" s="8" t="s">
        <v>597</v>
      </c>
      <c r="D22" s="8"/>
      <c r="E22" s="8"/>
      <c r="F22" s="8"/>
      <c r="G22" s="8"/>
      <c r="H22" s="10">
        <v>6.1</v>
      </c>
      <c r="I22" s="54">
        <f>VLOOKUP(A22,İstasyonlar!$A$2:$D$776,4,0)</f>
        <v>999999999</v>
      </c>
      <c r="J22" s="54">
        <f t="shared" si="1"/>
        <v>9</v>
      </c>
      <c r="K22" t="str">
        <f t="shared" si="0"/>
        <v>Sabit</v>
      </c>
    </row>
    <row r="23" spans="1:11" x14ac:dyDescent="0.3">
      <c r="A23" s="9" t="s">
        <v>438</v>
      </c>
      <c r="B23" s="47" t="s">
        <v>440</v>
      </c>
      <c r="C23" s="8" t="s">
        <v>597</v>
      </c>
      <c r="D23" s="8"/>
      <c r="E23" s="8"/>
      <c r="F23" s="8"/>
      <c r="G23" s="8"/>
      <c r="H23" s="10">
        <v>3.8</v>
      </c>
      <c r="I23" s="54">
        <f>VLOOKUP(A23,İstasyonlar!$A$2:$D$776,4,0)</f>
        <v>999999999</v>
      </c>
      <c r="J23" s="54">
        <f t="shared" si="1"/>
        <v>9</v>
      </c>
      <c r="K23" t="str">
        <f t="shared" si="0"/>
        <v>Sabit</v>
      </c>
    </row>
    <row r="24" spans="1:11" x14ac:dyDescent="0.3">
      <c r="A24" s="9" t="s">
        <v>438</v>
      </c>
      <c r="B24" s="47" t="s">
        <v>441</v>
      </c>
      <c r="C24" s="8" t="s">
        <v>597</v>
      </c>
      <c r="D24" s="8"/>
      <c r="E24" s="8"/>
      <c r="F24" s="8"/>
      <c r="G24" s="8"/>
      <c r="H24" s="10">
        <v>2.8</v>
      </c>
      <c r="I24" s="54">
        <f>VLOOKUP(A24,İstasyonlar!$A$2:$D$776,4,0)</f>
        <v>999999999</v>
      </c>
      <c r="J24" s="54">
        <f t="shared" si="1"/>
        <v>9</v>
      </c>
      <c r="K24" t="str">
        <f t="shared" si="0"/>
        <v>Sabit</v>
      </c>
    </row>
    <row r="25" spans="1:11" x14ac:dyDescent="0.3">
      <c r="A25" s="9" t="s">
        <v>438</v>
      </c>
      <c r="B25" s="47" t="s">
        <v>442</v>
      </c>
      <c r="C25" s="8" t="s">
        <v>597</v>
      </c>
      <c r="D25" s="8"/>
      <c r="E25" s="8"/>
      <c r="F25" s="8"/>
      <c r="G25" s="8"/>
      <c r="H25" s="10">
        <v>2.8</v>
      </c>
      <c r="I25" s="54">
        <f>VLOOKUP(A25,İstasyonlar!$A$2:$D$776,4,0)</f>
        <v>999999999</v>
      </c>
      <c r="J25" s="54">
        <f t="shared" si="1"/>
        <v>9</v>
      </c>
      <c r="K25" t="str">
        <f t="shared" si="0"/>
        <v>Sabit</v>
      </c>
    </row>
    <row r="26" spans="1:11" x14ac:dyDescent="0.3">
      <c r="A26" s="9" t="s">
        <v>438</v>
      </c>
      <c r="B26" s="47" t="s">
        <v>443</v>
      </c>
      <c r="C26" s="8" t="s">
        <v>597</v>
      </c>
      <c r="D26" s="8"/>
      <c r="E26" s="8"/>
      <c r="F26" s="8"/>
      <c r="G26" s="8"/>
      <c r="H26" s="10">
        <v>3.1</v>
      </c>
      <c r="I26" s="54">
        <f>VLOOKUP(A26,İstasyonlar!$A$2:$D$776,4,0)</f>
        <v>999999999</v>
      </c>
      <c r="J26" s="54">
        <f t="shared" si="1"/>
        <v>9</v>
      </c>
      <c r="K26" t="str">
        <f t="shared" si="0"/>
        <v>Sabit</v>
      </c>
    </row>
    <row r="27" spans="1:11" x14ac:dyDescent="0.3">
      <c r="A27" s="9" t="s">
        <v>438</v>
      </c>
      <c r="B27" s="47" t="s">
        <v>444</v>
      </c>
      <c r="C27" s="8" t="s">
        <v>597</v>
      </c>
      <c r="D27" s="8"/>
      <c r="E27" s="8"/>
      <c r="F27" s="8"/>
      <c r="G27" s="8"/>
      <c r="H27" s="10">
        <v>4.3</v>
      </c>
      <c r="I27" s="54">
        <f>VLOOKUP(A27,İstasyonlar!$A$2:$D$776,4,0)</f>
        <v>999999999</v>
      </c>
      <c r="J27" s="54">
        <f t="shared" si="1"/>
        <v>9</v>
      </c>
      <c r="K27" t="str">
        <f t="shared" si="0"/>
        <v>Sabit</v>
      </c>
    </row>
    <row r="28" spans="1:11" x14ac:dyDescent="0.3">
      <c r="A28" s="9" t="s">
        <v>438</v>
      </c>
      <c r="B28" s="47" t="s">
        <v>445</v>
      </c>
      <c r="C28" s="8" t="s">
        <v>597</v>
      </c>
      <c r="D28" s="8"/>
      <c r="E28" s="8"/>
      <c r="F28" s="8"/>
      <c r="G28" s="8"/>
      <c r="H28" s="10">
        <v>4.0999999999999996</v>
      </c>
      <c r="I28" s="54">
        <f>VLOOKUP(A28,İstasyonlar!$A$2:$D$776,4,0)</f>
        <v>999999999</v>
      </c>
      <c r="J28" s="54">
        <f t="shared" si="1"/>
        <v>9</v>
      </c>
      <c r="K28" t="str">
        <f t="shared" si="0"/>
        <v>Sabit</v>
      </c>
    </row>
    <row r="29" spans="1:11" x14ac:dyDescent="0.3">
      <c r="A29" s="9" t="s">
        <v>438</v>
      </c>
      <c r="B29" s="47" t="s">
        <v>446</v>
      </c>
      <c r="C29" s="8" t="s">
        <v>597</v>
      </c>
      <c r="D29" s="8"/>
      <c r="E29" s="8"/>
      <c r="F29" s="8"/>
      <c r="G29" s="8"/>
      <c r="H29" s="10">
        <v>3.2</v>
      </c>
      <c r="I29" s="54">
        <f>VLOOKUP(A29,İstasyonlar!$A$2:$D$776,4,0)</f>
        <v>999999999</v>
      </c>
      <c r="J29" s="54">
        <f t="shared" si="1"/>
        <v>9</v>
      </c>
      <c r="K29" t="str">
        <f t="shared" si="0"/>
        <v>Sabit</v>
      </c>
    </row>
    <row r="30" spans="1:11" x14ac:dyDescent="0.3">
      <c r="A30" s="9" t="s">
        <v>438</v>
      </c>
      <c r="B30" s="47" t="s">
        <v>447</v>
      </c>
      <c r="C30" s="8" t="s">
        <v>597</v>
      </c>
      <c r="D30" s="8"/>
      <c r="E30" s="8"/>
      <c r="F30" s="8"/>
      <c r="G30" s="8"/>
      <c r="H30" s="10">
        <v>1</v>
      </c>
      <c r="I30" s="54">
        <f>VLOOKUP(A30,İstasyonlar!$A$2:$D$776,4,0)</f>
        <v>999999999</v>
      </c>
      <c r="J30" s="54">
        <f t="shared" si="1"/>
        <v>9</v>
      </c>
      <c r="K30" t="str">
        <f t="shared" si="0"/>
        <v>Sabit</v>
      </c>
    </row>
    <row r="31" spans="1:11" x14ac:dyDescent="0.3">
      <c r="A31" s="9" t="s">
        <v>6</v>
      </c>
      <c r="B31" s="47" t="s">
        <v>73</v>
      </c>
      <c r="C31" s="8" t="s">
        <v>606</v>
      </c>
      <c r="D31" s="8" t="s">
        <v>599</v>
      </c>
      <c r="E31" s="8"/>
      <c r="F31" s="8"/>
      <c r="G31" s="8"/>
      <c r="H31" s="10">
        <v>5.3</v>
      </c>
      <c r="I31" s="54">
        <f>VLOOKUP(A31,İstasyonlar!$A$2:$D$776,4,0)</f>
        <v>999999999</v>
      </c>
      <c r="J31" s="54">
        <f t="shared" si="1"/>
        <v>10</v>
      </c>
      <c r="K31" t="str">
        <f t="shared" si="0"/>
        <v>Sabit</v>
      </c>
    </row>
    <row r="32" spans="1:11" x14ac:dyDescent="0.3">
      <c r="A32" s="9" t="s">
        <v>6</v>
      </c>
      <c r="B32" s="47" t="s">
        <v>74</v>
      </c>
      <c r="C32" s="8" t="s">
        <v>606</v>
      </c>
      <c r="D32" s="8" t="s">
        <v>599</v>
      </c>
      <c r="E32" s="8"/>
      <c r="F32" s="8"/>
      <c r="G32" s="8"/>
      <c r="H32" s="10">
        <v>6.4</v>
      </c>
      <c r="I32" s="54">
        <f>VLOOKUP(A32,İstasyonlar!$A$2:$D$776,4,0)</f>
        <v>999999999</v>
      </c>
      <c r="J32" s="54">
        <f t="shared" si="1"/>
        <v>10</v>
      </c>
      <c r="K32" t="str">
        <f t="shared" si="0"/>
        <v>Sabit</v>
      </c>
    </row>
    <row r="33" spans="1:11" x14ac:dyDescent="0.3">
      <c r="A33" s="9" t="s">
        <v>6</v>
      </c>
      <c r="B33" s="47" t="s">
        <v>75</v>
      </c>
      <c r="C33" s="8" t="s">
        <v>606</v>
      </c>
      <c r="D33" s="8" t="s">
        <v>599</v>
      </c>
      <c r="E33" s="8"/>
      <c r="F33" s="8"/>
      <c r="G33" s="8"/>
      <c r="H33" s="10">
        <v>2.4</v>
      </c>
      <c r="I33" s="54">
        <f>VLOOKUP(A33,İstasyonlar!$A$2:$D$776,4,0)</f>
        <v>999999999</v>
      </c>
      <c r="J33" s="54">
        <f t="shared" si="1"/>
        <v>10</v>
      </c>
      <c r="K33" t="str">
        <f t="shared" si="0"/>
        <v>Sabit</v>
      </c>
    </row>
    <row r="34" spans="1:11" x14ac:dyDescent="0.3">
      <c r="A34" s="9" t="s">
        <v>6</v>
      </c>
      <c r="B34" s="47" t="s">
        <v>76</v>
      </c>
      <c r="C34" s="8" t="s">
        <v>606</v>
      </c>
      <c r="D34" s="8" t="s">
        <v>599</v>
      </c>
      <c r="E34" s="8"/>
      <c r="F34" s="8"/>
      <c r="G34" s="8"/>
      <c r="H34" s="10">
        <v>2.7</v>
      </c>
      <c r="I34" s="54">
        <f>VLOOKUP(A34,İstasyonlar!$A$2:$D$776,4,0)</f>
        <v>999999999</v>
      </c>
      <c r="J34" s="54">
        <f t="shared" si="1"/>
        <v>10</v>
      </c>
      <c r="K34" t="str">
        <f t="shared" si="0"/>
        <v>Sabit</v>
      </c>
    </row>
    <row r="35" spans="1:11" x14ac:dyDescent="0.3">
      <c r="A35" s="9" t="s">
        <v>7</v>
      </c>
      <c r="B35" s="47" t="s">
        <v>77</v>
      </c>
      <c r="C35" s="8" t="s">
        <v>607</v>
      </c>
      <c r="D35" s="8" t="s">
        <v>608</v>
      </c>
      <c r="E35" s="8"/>
      <c r="F35" s="8"/>
      <c r="G35" s="8" t="s">
        <v>596</v>
      </c>
      <c r="H35" s="10">
        <v>9.1999999999999993</v>
      </c>
      <c r="I35" s="54">
        <f>VLOOKUP(A35,İstasyonlar!$A$2:$D$776,4,0)</f>
        <v>999999999</v>
      </c>
      <c r="J35" s="54">
        <f t="shared" si="1"/>
        <v>11</v>
      </c>
      <c r="K35" t="str">
        <f t="shared" si="0"/>
        <v>Sabit</v>
      </c>
    </row>
    <row r="36" spans="1:11" x14ac:dyDescent="0.3">
      <c r="A36" s="9" t="s">
        <v>7</v>
      </c>
      <c r="B36" s="47" t="s">
        <v>78</v>
      </c>
      <c r="C36" s="8" t="s">
        <v>607</v>
      </c>
      <c r="D36" s="8" t="s">
        <v>608</v>
      </c>
      <c r="E36" s="8"/>
      <c r="F36" s="8"/>
      <c r="G36" s="8" t="s">
        <v>596</v>
      </c>
      <c r="H36" s="10">
        <v>9.1999999999999993</v>
      </c>
      <c r="I36" s="54">
        <f>VLOOKUP(A36,İstasyonlar!$A$2:$D$776,4,0)</f>
        <v>999999999</v>
      </c>
      <c r="J36" s="54">
        <f t="shared" si="1"/>
        <v>11</v>
      </c>
      <c r="K36" t="str">
        <f t="shared" si="0"/>
        <v>Sabit</v>
      </c>
    </row>
    <row r="37" spans="1:11" x14ac:dyDescent="0.3">
      <c r="A37" s="9" t="s">
        <v>7</v>
      </c>
      <c r="B37" s="47" t="s">
        <v>334</v>
      </c>
      <c r="C37" s="8" t="s">
        <v>607</v>
      </c>
      <c r="D37" s="8" t="s">
        <v>608</v>
      </c>
      <c r="E37" s="8"/>
      <c r="F37" s="8"/>
      <c r="G37" s="8" t="s">
        <v>596</v>
      </c>
      <c r="H37" s="10">
        <v>9.1999999999999993</v>
      </c>
      <c r="I37" s="54">
        <f>VLOOKUP(A37,İstasyonlar!$A$2:$D$776,4,0)</f>
        <v>999999999</v>
      </c>
      <c r="J37" s="54">
        <f t="shared" si="1"/>
        <v>11</v>
      </c>
      <c r="K37" t="str">
        <f t="shared" si="0"/>
        <v>Sabit</v>
      </c>
    </row>
    <row r="38" spans="1:11" x14ac:dyDescent="0.3">
      <c r="A38" s="9" t="s">
        <v>7</v>
      </c>
      <c r="B38" s="47" t="s">
        <v>335</v>
      </c>
      <c r="C38" s="8" t="s">
        <v>607</v>
      </c>
      <c r="D38" s="8" t="s">
        <v>608</v>
      </c>
      <c r="E38" s="8"/>
      <c r="F38" s="8"/>
      <c r="G38" s="8" t="s">
        <v>596</v>
      </c>
      <c r="H38" s="10">
        <v>9.1999999999999993</v>
      </c>
      <c r="I38" s="54">
        <f>VLOOKUP(A38,İstasyonlar!$A$2:$D$776,4,0)</f>
        <v>999999999</v>
      </c>
      <c r="J38" s="54">
        <f t="shared" si="1"/>
        <v>11</v>
      </c>
      <c r="K38" t="str">
        <f t="shared" si="0"/>
        <v>Sabit</v>
      </c>
    </row>
    <row r="39" spans="1:11" x14ac:dyDescent="0.3">
      <c r="A39" s="9" t="s">
        <v>291</v>
      </c>
      <c r="B39" s="47" t="s">
        <v>292</v>
      </c>
      <c r="C39" s="8" t="s">
        <v>608</v>
      </c>
      <c r="D39" s="8" t="s">
        <v>607</v>
      </c>
      <c r="E39" s="8" t="s">
        <v>606</v>
      </c>
      <c r="F39" s="8"/>
      <c r="G39" s="8"/>
      <c r="H39" s="10">
        <v>9.1999999999999993</v>
      </c>
      <c r="I39" s="54">
        <f>VLOOKUP(A39,İstasyonlar!$A$2:$D$776,4,0)</f>
        <v>999999999</v>
      </c>
      <c r="J39" s="54">
        <f t="shared" si="1"/>
        <v>12</v>
      </c>
      <c r="K39" t="str">
        <f t="shared" si="0"/>
        <v>Sabit</v>
      </c>
    </row>
    <row r="40" spans="1:11" x14ac:dyDescent="0.3">
      <c r="A40" s="9" t="s">
        <v>291</v>
      </c>
      <c r="B40" s="47" t="s">
        <v>293</v>
      </c>
      <c r="C40" s="8" t="s">
        <v>608</v>
      </c>
      <c r="D40" s="8" t="s">
        <v>607</v>
      </c>
      <c r="E40" s="8" t="s">
        <v>606</v>
      </c>
      <c r="F40" s="8"/>
      <c r="G40" s="8"/>
      <c r="H40" s="10">
        <v>9.1999999999999993</v>
      </c>
      <c r="I40" s="54">
        <f>VLOOKUP(A40,İstasyonlar!$A$2:$D$776,4,0)</f>
        <v>999999999</v>
      </c>
      <c r="J40" s="54">
        <f t="shared" si="1"/>
        <v>12</v>
      </c>
      <c r="K40" t="str">
        <f t="shared" si="0"/>
        <v>Sabit</v>
      </c>
    </row>
    <row r="41" spans="1:11" x14ac:dyDescent="0.3">
      <c r="A41" s="9" t="s">
        <v>291</v>
      </c>
      <c r="B41" s="47" t="s">
        <v>464</v>
      </c>
      <c r="C41" s="8" t="s">
        <v>608</v>
      </c>
      <c r="D41" s="8" t="s">
        <v>607</v>
      </c>
      <c r="E41" s="8" t="s">
        <v>606</v>
      </c>
      <c r="F41" s="8"/>
      <c r="G41" s="8"/>
      <c r="H41" s="10">
        <v>9.1999999999999993</v>
      </c>
      <c r="I41" s="54">
        <f>VLOOKUP(A41,İstasyonlar!$A$2:$D$776,4,0)</f>
        <v>999999999</v>
      </c>
      <c r="J41" s="54">
        <f t="shared" si="1"/>
        <v>12</v>
      </c>
      <c r="K41" t="str">
        <f t="shared" si="0"/>
        <v>Sabit</v>
      </c>
    </row>
    <row r="42" spans="1:11" x14ac:dyDescent="0.3">
      <c r="A42" s="9" t="s">
        <v>291</v>
      </c>
      <c r="B42" s="47" t="s">
        <v>465</v>
      </c>
      <c r="C42" s="8" t="s">
        <v>608</v>
      </c>
      <c r="D42" s="8" t="s">
        <v>607</v>
      </c>
      <c r="E42" s="8" t="s">
        <v>606</v>
      </c>
      <c r="F42" s="8"/>
      <c r="G42" s="8"/>
      <c r="H42" s="10">
        <v>9.1999999999999993</v>
      </c>
      <c r="I42" s="54">
        <f>VLOOKUP(A42,İstasyonlar!$A$2:$D$776,4,0)</f>
        <v>999999999</v>
      </c>
      <c r="J42" s="54">
        <f t="shared" si="1"/>
        <v>12</v>
      </c>
      <c r="K42" t="str">
        <f t="shared" si="0"/>
        <v>Sabit</v>
      </c>
    </row>
    <row r="43" spans="1:11" x14ac:dyDescent="0.3">
      <c r="A43" s="9" t="s">
        <v>8</v>
      </c>
      <c r="B43" s="47" t="s">
        <v>81</v>
      </c>
      <c r="C43" s="8" t="s">
        <v>609</v>
      </c>
      <c r="D43" s="8"/>
      <c r="E43" s="8"/>
      <c r="F43" s="8"/>
      <c r="G43" s="8"/>
      <c r="H43" s="10">
        <v>5.5</v>
      </c>
      <c r="I43" s="54">
        <f>VLOOKUP(A43,İstasyonlar!$A$2:$D$776,4,0)</f>
        <v>999999999</v>
      </c>
      <c r="J43" s="54">
        <f t="shared" si="1"/>
        <v>13</v>
      </c>
      <c r="K43" t="str">
        <f t="shared" si="0"/>
        <v>Sabit</v>
      </c>
    </row>
    <row r="44" spans="1:11" x14ac:dyDescent="0.3">
      <c r="A44" s="9" t="s">
        <v>8</v>
      </c>
      <c r="B44" s="47" t="s">
        <v>340</v>
      </c>
      <c r="C44" s="8" t="s">
        <v>609</v>
      </c>
      <c r="D44" s="8"/>
      <c r="E44" s="8"/>
      <c r="F44" s="8"/>
      <c r="G44" s="8"/>
      <c r="H44" s="10">
        <v>3.1</v>
      </c>
      <c r="I44" s="54">
        <f>VLOOKUP(A44,İstasyonlar!$A$2:$D$776,4,0)</f>
        <v>999999999</v>
      </c>
      <c r="J44" s="54">
        <f t="shared" si="1"/>
        <v>13</v>
      </c>
      <c r="K44" t="str">
        <f t="shared" si="0"/>
        <v>Sabit</v>
      </c>
    </row>
    <row r="45" spans="1:11" x14ac:dyDescent="0.3">
      <c r="A45" s="9" t="s">
        <v>8</v>
      </c>
      <c r="B45" s="47" t="s">
        <v>341</v>
      </c>
      <c r="C45" s="8" t="s">
        <v>609</v>
      </c>
      <c r="D45" s="8"/>
      <c r="E45" s="8"/>
      <c r="F45" s="8"/>
      <c r="G45" s="8"/>
      <c r="H45" s="10">
        <v>4.5</v>
      </c>
      <c r="I45" s="54">
        <f>VLOOKUP(A45,İstasyonlar!$A$2:$D$776,4,0)</f>
        <v>999999999</v>
      </c>
      <c r="J45" s="54">
        <f t="shared" si="1"/>
        <v>13</v>
      </c>
      <c r="K45" t="str">
        <f t="shared" si="0"/>
        <v>Sabit</v>
      </c>
    </row>
    <row r="46" spans="1:11" x14ac:dyDescent="0.3">
      <c r="A46" s="9" t="s">
        <v>8</v>
      </c>
      <c r="B46" s="47" t="s">
        <v>80</v>
      </c>
      <c r="C46" s="8" t="s">
        <v>609</v>
      </c>
      <c r="D46" s="8"/>
      <c r="E46" s="8"/>
      <c r="F46" s="8"/>
      <c r="G46" s="8"/>
      <c r="H46" s="10">
        <v>2.7</v>
      </c>
      <c r="I46" s="54">
        <f>VLOOKUP(A46,İstasyonlar!$A$2:$D$776,4,0)</f>
        <v>999999999</v>
      </c>
      <c r="J46" s="54">
        <f t="shared" si="1"/>
        <v>13</v>
      </c>
      <c r="K46" t="str">
        <f t="shared" si="0"/>
        <v>Sabit</v>
      </c>
    </row>
    <row r="47" spans="1:11" x14ac:dyDescent="0.3">
      <c r="A47" s="9" t="s">
        <v>342</v>
      </c>
      <c r="B47" s="47" t="s">
        <v>343</v>
      </c>
      <c r="C47" s="8" t="s">
        <v>611</v>
      </c>
      <c r="D47" s="8" t="s">
        <v>610</v>
      </c>
      <c r="E47" s="8"/>
      <c r="F47" s="8"/>
      <c r="G47" s="8"/>
      <c r="H47" s="10">
        <v>4.5999999999999996</v>
      </c>
      <c r="I47" s="54">
        <f>VLOOKUP(A47,İstasyonlar!$A$2:$D$776,4,0)</f>
        <v>1000000</v>
      </c>
      <c r="J47" s="54">
        <f t="shared" si="1"/>
        <v>14</v>
      </c>
      <c r="K47" t="str">
        <f t="shared" si="0"/>
        <v/>
      </c>
    </row>
    <row r="48" spans="1:11" x14ac:dyDescent="0.3">
      <c r="A48" s="9" t="s">
        <v>342</v>
      </c>
      <c r="B48" s="47" t="s">
        <v>344</v>
      </c>
      <c r="C48" s="8" t="s">
        <v>611</v>
      </c>
      <c r="D48" s="8" t="s">
        <v>610</v>
      </c>
      <c r="E48" s="8"/>
      <c r="F48" s="8"/>
      <c r="G48" s="8"/>
      <c r="H48" s="10">
        <v>3.8</v>
      </c>
      <c r="I48" s="54">
        <f>VLOOKUP(A48,İstasyonlar!$A$2:$D$776,4,0)</f>
        <v>1000000</v>
      </c>
      <c r="J48" s="54">
        <f t="shared" si="1"/>
        <v>14</v>
      </c>
      <c r="K48" t="str">
        <f t="shared" si="0"/>
        <v/>
      </c>
    </row>
    <row r="49" spans="1:11" x14ac:dyDescent="0.3">
      <c r="A49" s="9" t="s">
        <v>342</v>
      </c>
      <c r="B49" s="47" t="s">
        <v>346</v>
      </c>
      <c r="C49" s="8" t="s">
        <v>611</v>
      </c>
      <c r="D49" s="8" t="s">
        <v>610</v>
      </c>
      <c r="E49" s="8"/>
      <c r="F49" s="8"/>
      <c r="G49" s="8"/>
      <c r="H49" s="10">
        <v>5.8</v>
      </c>
      <c r="I49" s="54">
        <f>VLOOKUP(A49,İstasyonlar!$A$2:$D$776,4,0)</f>
        <v>1000000</v>
      </c>
      <c r="J49" s="54">
        <f t="shared" si="1"/>
        <v>14</v>
      </c>
      <c r="K49" t="str">
        <f t="shared" si="0"/>
        <v/>
      </c>
    </row>
    <row r="50" spans="1:11" x14ac:dyDescent="0.3">
      <c r="A50" s="9" t="s">
        <v>342</v>
      </c>
      <c r="B50" s="47" t="s">
        <v>347</v>
      </c>
      <c r="C50" s="8" t="s">
        <v>611</v>
      </c>
      <c r="D50" s="8" t="s">
        <v>610</v>
      </c>
      <c r="E50" s="8"/>
      <c r="F50" s="8"/>
      <c r="G50" s="8"/>
      <c r="H50" s="10">
        <v>2.8</v>
      </c>
      <c r="I50" s="54">
        <f>VLOOKUP(A50,İstasyonlar!$A$2:$D$776,4,0)</f>
        <v>1000000</v>
      </c>
      <c r="J50" s="54">
        <f t="shared" si="1"/>
        <v>14</v>
      </c>
      <c r="K50" t="str">
        <f t="shared" si="0"/>
        <v/>
      </c>
    </row>
    <row r="51" spans="1:11" x14ac:dyDescent="0.3">
      <c r="A51" s="9" t="s">
        <v>9</v>
      </c>
      <c r="B51" s="47" t="s">
        <v>83</v>
      </c>
      <c r="C51" s="8" t="s">
        <v>610</v>
      </c>
      <c r="D51" s="8" t="s">
        <v>611</v>
      </c>
      <c r="E51" s="8"/>
      <c r="F51" s="8"/>
      <c r="G51" s="8"/>
      <c r="H51" s="10">
        <v>3.9</v>
      </c>
      <c r="I51" s="54">
        <f>VLOOKUP(A51,İstasyonlar!$A$2:$D$776,4,0)</f>
        <v>1000000</v>
      </c>
      <c r="J51" s="54">
        <f t="shared" si="1"/>
        <v>15</v>
      </c>
      <c r="K51" t="str">
        <f t="shared" si="0"/>
        <v/>
      </c>
    </row>
    <row r="52" spans="1:11" x14ac:dyDescent="0.3">
      <c r="A52" s="9" t="s">
        <v>9</v>
      </c>
      <c r="B52" s="47" t="s">
        <v>84</v>
      </c>
      <c r="C52" s="8" t="s">
        <v>610</v>
      </c>
      <c r="D52" s="8" t="s">
        <v>611</v>
      </c>
      <c r="E52" s="8"/>
      <c r="F52" s="8"/>
      <c r="G52" s="8"/>
      <c r="H52" s="10">
        <v>5.5</v>
      </c>
      <c r="I52" s="54">
        <f>VLOOKUP(A52,İstasyonlar!$A$2:$D$776,4,0)</f>
        <v>1000000</v>
      </c>
      <c r="J52" s="54">
        <f t="shared" si="1"/>
        <v>15</v>
      </c>
      <c r="K52" t="str">
        <f t="shared" si="0"/>
        <v/>
      </c>
    </row>
    <row r="53" spans="1:11" x14ac:dyDescent="0.3">
      <c r="A53" s="9" t="s">
        <v>9</v>
      </c>
      <c r="B53" s="47" t="s">
        <v>85</v>
      </c>
      <c r="C53" s="8" t="s">
        <v>610</v>
      </c>
      <c r="D53" s="8" t="s">
        <v>611</v>
      </c>
      <c r="E53" s="8"/>
      <c r="F53" s="8"/>
      <c r="G53" s="8"/>
      <c r="H53" s="10">
        <v>7.2</v>
      </c>
      <c r="I53" s="54">
        <f>VLOOKUP(A53,İstasyonlar!$A$2:$D$776,4,0)</f>
        <v>1000000</v>
      </c>
      <c r="J53" s="54">
        <f t="shared" si="1"/>
        <v>15</v>
      </c>
      <c r="K53" t="str">
        <f t="shared" si="0"/>
        <v/>
      </c>
    </row>
    <row r="54" spans="1:11" x14ac:dyDescent="0.3">
      <c r="A54" s="9" t="s">
        <v>13</v>
      </c>
      <c r="B54" s="47" t="s">
        <v>86</v>
      </c>
      <c r="C54" s="8" t="s">
        <v>612</v>
      </c>
      <c r="D54" s="8"/>
      <c r="E54" s="8"/>
      <c r="F54" s="8"/>
      <c r="G54" s="8"/>
      <c r="H54" s="10">
        <v>11.5</v>
      </c>
      <c r="I54" s="54">
        <f>VLOOKUP(A54,İstasyonlar!$A$2:$D$776,4,0)</f>
        <v>1000000</v>
      </c>
      <c r="J54" s="54">
        <f t="shared" si="1"/>
        <v>16</v>
      </c>
      <c r="K54" t="str">
        <f t="shared" si="0"/>
        <v/>
      </c>
    </row>
    <row r="55" spans="1:11" x14ac:dyDescent="0.3">
      <c r="A55" s="9" t="s">
        <v>14</v>
      </c>
      <c r="B55" s="47" t="s">
        <v>87</v>
      </c>
      <c r="C55" s="8" t="s">
        <v>613</v>
      </c>
      <c r="D55" s="8" t="s">
        <v>612</v>
      </c>
      <c r="E55" s="8"/>
      <c r="F55" s="8"/>
      <c r="G55" s="8"/>
      <c r="H55" s="10">
        <v>6.2</v>
      </c>
      <c r="I55" s="54">
        <f>VLOOKUP(A55,İstasyonlar!$A$2:$D$776,4,0)</f>
        <v>1000000</v>
      </c>
      <c r="J55" s="54">
        <f t="shared" si="1"/>
        <v>17</v>
      </c>
      <c r="K55" t="str">
        <f t="shared" si="0"/>
        <v/>
      </c>
    </row>
    <row r="56" spans="1:11" x14ac:dyDescent="0.3">
      <c r="A56" s="9" t="s">
        <v>14</v>
      </c>
      <c r="B56" s="47" t="s">
        <v>88</v>
      </c>
      <c r="C56" s="8" t="s">
        <v>613</v>
      </c>
      <c r="D56" s="8" t="s">
        <v>612</v>
      </c>
      <c r="E56" s="8"/>
      <c r="F56" s="8"/>
      <c r="G56" s="8"/>
      <c r="H56" s="10">
        <v>3.1</v>
      </c>
      <c r="I56" s="54">
        <f>VLOOKUP(A56,İstasyonlar!$A$2:$D$776,4,0)</f>
        <v>1000000</v>
      </c>
      <c r="J56" s="54">
        <f t="shared" si="1"/>
        <v>17</v>
      </c>
      <c r="K56" t="str">
        <f t="shared" si="0"/>
        <v/>
      </c>
    </row>
    <row r="57" spans="1:11" x14ac:dyDescent="0.3">
      <c r="A57" s="9" t="s">
        <v>12</v>
      </c>
      <c r="B57" s="47" t="s">
        <v>89</v>
      </c>
      <c r="C57" s="8" t="s">
        <v>614</v>
      </c>
      <c r="D57" s="8"/>
      <c r="E57" s="8"/>
      <c r="F57" s="8"/>
      <c r="G57" s="8"/>
      <c r="H57" s="10">
        <v>3.2</v>
      </c>
      <c r="I57" s="54">
        <f>VLOOKUP(A57,İstasyonlar!$A$2:$D$776,4,0)</f>
        <v>999999999</v>
      </c>
      <c r="J57" s="54">
        <f t="shared" si="1"/>
        <v>18</v>
      </c>
      <c r="K57" t="str">
        <f t="shared" si="0"/>
        <v>Sabit</v>
      </c>
    </row>
    <row r="58" spans="1:11" x14ac:dyDescent="0.3">
      <c r="A58" s="9" t="s">
        <v>12</v>
      </c>
      <c r="B58" s="47" t="s">
        <v>90</v>
      </c>
      <c r="C58" s="8" t="s">
        <v>614</v>
      </c>
      <c r="D58" s="8"/>
      <c r="E58" s="8"/>
      <c r="F58" s="8"/>
      <c r="G58" s="8"/>
      <c r="H58" s="10">
        <v>5.5</v>
      </c>
      <c r="I58" s="54">
        <f>VLOOKUP(A58,İstasyonlar!$A$2:$D$776,4,0)</f>
        <v>999999999</v>
      </c>
      <c r="J58" s="54">
        <f t="shared" si="1"/>
        <v>18</v>
      </c>
      <c r="K58" t="str">
        <f t="shared" si="0"/>
        <v>Sabit</v>
      </c>
    </row>
    <row r="59" spans="1:11" x14ac:dyDescent="0.3">
      <c r="A59" s="9" t="s">
        <v>12</v>
      </c>
      <c r="B59" s="47" t="s">
        <v>91</v>
      </c>
      <c r="C59" s="8" t="s">
        <v>614</v>
      </c>
      <c r="D59" s="8"/>
      <c r="E59" s="8"/>
      <c r="F59" s="8"/>
      <c r="G59" s="8"/>
      <c r="H59" s="10">
        <v>5</v>
      </c>
      <c r="I59" s="54">
        <f>VLOOKUP(A59,İstasyonlar!$A$2:$D$776,4,0)</f>
        <v>999999999</v>
      </c>
      <c r="J59" s="54">
        <f t="shared" si="1"/>
        <v>18</v>
      </c>
      <c r="K59" t="str">
        <f t="shared" si="0"/>
        <v>Sabit</v>
      </c>
    </row>
    <row r="60" spans="1:11" x14ac:dyDescent="0.3">
      <c r="A60" s="9" t="s">
        <v>11</v>
      </c>
      <c r="B60" s="47" t="s">
        <v>92</v>
      </c>
      <c r="C60" s="8" t="s">
        <v>615</v>
      </c>
      <c r="D60" s="8"/>
      <c r="E60" s="8"/>
      <c r="F60" s="8"/>
      <c r="G60" s="8"/>
      <c r="H60" s="10">
        <v>6</v>
      </c>
      <c r="I60" s="54">
        <f>VLOOKUP(A60,İstasyonlar!$A$2:$D$776,4,0)</f>
        <v>999999999</v>
      </c>
      <c r="J60" s="54">
        <f t="shared" si="1"/>
        <v>19</v>
      </c>
      <c r="K60" t="str">
        <f t="shared" si="0"/>
        <v>Sabit</v>
      </c>
    </row>
    <row r="61" spans="1:11" x14ac:dyDescent="0.3">
      <c r="A61" s="9" t="s">
        <v>11</v>
      </c>
      <c r="B61" s="47" t="s">
        <v>94</v>
      </c>
      <c r="C61" s="8" t="s">
        <v>615</v>
      </c>
      <c r="D61" s="8"/>
      <c r="E61" s="8"/>
      <c r="F61" s="8"/>
      <c r="G61" s="8"/>
      <c r="H61" s="10">
        <v>8.1</v>
      </c>
      <c r="I61" s="54">
        <f>VLOOKUP(A61,İstasyonlar!$A$2:$D$776,4,0)</f>
        <v>999999999</v>
      </c>
      <c r="J61" s="54">
        <f t="shared" si="1"/>
        <v>19</v>
      </c>
      <c r="K61" t="str">
        <f t="shared" si="0"/>
        <v>Sabit</v>
      </c>
    </row>
    <row r="62" spans="1:11" x14ac:dyDescent="0.3">
      <c r="A62" s="9" t="s">
        <v>11</v>
      </c>
      <c r="B62" s="47" t="s">
        <v>95</v>
      </c>
      <c r="C62" s="8" t="s">
        <v>615</v>
      </c>
      <c r="D62" s="8"/>
      <c r="E62" s="8"/>
      <c r="F62" s="8"/>
      <c r="G62" s="8"/>
      <c r="H62" s="10">
        <v>3.8</v>
      </c>
      <c r="I62" s="54">
        <f>VLOOKUP(A62,İstasyonlar!$A$2:$D$776,4,0)</f>
        <v>999999999</v>
      </c>
      <c r="J62" s="54">
        <f t="shared" si="1"/>
        <v>19</v>
      </c>
      <c r="K62" t="str">
        <f t="shared" si="0"/>
        <v>Sabit</v>
      </c>
    </row>
    <row r="63" spans="1:11" x14ac:dyDescent="0.3">
      <c r="A63" s="9" t="s">
        <v>10</v>
      </c>
      <c r="B63" s="47" t="s">
        <v>96</v>
      </c>
      <c r="C63" s="8" t="s">
        <v>616</v>
      </c>
      <c r="D63" s="8" t="s">
        <v>604</v>
      </c>
      <c r="E63" s="8"/>
      <c r="F63" s="8"/>
      <c r="G63" s="8"/>
      <c r="H63" s="10">
        <v>3.5</v>
      </c>
      <c r="I63" s="54">
        <f>VLOOKUP(A63,İstasyonlar!$A$2:$D$776,4,0)</f>
        <v>999999999</v>
      </c>
      <c r="J63" s="54">
        <f t="shared" si="1"/>
        <v>20</v>
      </c>
      <c r="K63" t="str">
        <f t="shared" si="0"/>
        <v>Sabit</v>
      </c>
    </row>
    <row r="64" spans="1:11" x14ac:dyDescent="0.3">
      <c r="A64" s="9" t="s">
        <v>10</v>
      </c>
      <c r="B64" s="47" t="s">
        <v>97</v>
      </c>
      <c r="C64" s="8" t="s">
        <v>616</v>
      </c>
      <c r="D64" s="8" t="s">
        <v>604</v>
      </c>
      <c r="E64" s="8"/>
      <c r="F64" s="8"/>
      <c r="G64" s="8"/>
      <c r="H64" s="10">
        <v>3.1</v>
      </c>
      <c r="I64" s="54">
        <f>VLOOKUP(A64,İstasyonlar!$A$2:$D$776,4,0)</f>
        <v>999999999</v>
      </c>
      <c r="J64" s="54">
        <f t="shared" si="1"/>
        <v>20</v>
      </c>
      <c r="K64" t="str">
        <f t="shared" si="0"/>
        <v>Sabit</v>
      </c>
    </row>
    <row r="65" spans="1:11" x14ac:dyDescent="0.3">
      <c r="A65" s="9" t="s">
        <v>15</v>
      </c>
      <c r="B65" s="47" t="s">
        <v>99</v>
      </c>
      <c r="C65" s="8" t="s">
        <v>617</v>
      </c>
      <c r="D65" s="8" t="s">
        <v>618</v>
      </c>
      <c r="E65" s="8" t="s">
        <v>619</v>
      </c>
      <c r="F65" s="8"/>
      <c r="G65" s="8"/>
      <c r="H65" s="10">
        <v>2.1</v>
      </c>
      <c r="I65" s="54">
        <f>VLOOKUP(A65,İstasyonlar!$A$2:$D$776,4,0)</f>
        <v>999999999</v>
      </c>
      <c r="J65" s="54">
        <f t="shared" si="1"/>
        <v>21</v>
      </c>
      <c r="K65" t="str">
        <f t="shared" si="0"/>
        <v>Sabit</v>
      </c>
    </row>
    <row r="66" spans="1:11" x14ac:dyDescent="0.3">
      <c r="A66" s="9" t="s">
        <v>15</v>
      </c>
      <c r="B66" s="47" t="s">
        <v>100</v>
      </c>
      <c r="C66" s="8" t="s">
        <v>617</v>
      </c>
      <c r="D66" s="8" t="s">
        <v>618</v>
      </c>
      <c r="E66" s="8" t="s">
        <v>619</v>
      </c>
      <c r="F66" s="8"/>
      <c r="G66" s="8"/>
      <c r="H66" s="10">
        <v>1.8</v>
      </c>
      <c r="I66" s="54">
        <f>VLOOKUP(A66,İstasyonlar!$A$2:$D$776,4,0)</f>
        <v>999999999</v>
      </c>
      <c r="J66" s="54">
        <f t="shared" si="1"/>
        <v>21</v>
      </c>
      <c r="K66" t="str">
        <f t="shared" ref="K66:K129" si="2">IF(I66=1000000,"","Sabit")</f>
        <v>Sabit</v>
      </c>
    </row>
    <row r="67" spans="1:11" x14ac:dyDescent="0.3">
      <c r="A67" s="9" t="s">
        <v>15</v>
      </c>
      <c r="B67" s="47" t="s">
        <v>101</v>
      </c>
      <c r="C67" s="8" t="s">
        <v>617</v>
      </c>
      <c r="D67" s="8" t="s">
        <v>618</v>
      </c>
      <c r="E67" s="8" t="s">
        <v>619</v>
      </c>
      <c r="F67" s="8"/>
      <c r="G67" s="8"/>
      <c r="H67" s="10">
        <v>3.2</v>
      </c>
      <c r="I67" s="54">
        <f>VLOOKUP(A67,İstasyonlar!$A$2:$D$776,4,0)</f>
        <v>999999999</v>
      </c>
      <c r="J67" s="54">
        <f t="shared" ref="J67:J130" si="3">IF(A67=A66, J66, J66+1)</f>
        <v>21</v>
      </c>
      <c r="K67" t="str">
        <f t="shared" si="2"/>
        <v>Sabit</v>
      </c>
    </row>
    <row r="68" spans="1:11" x14ac:dyDescent="0.3">
      <c r="A68" s="9" t="s">
        <v>16</v>
      </c>
      <c r="B68" s="47" t="s">
        <v>102</v>
      </c>
      <c r="C68" s="8" t="s">
        <v>619</v>
      </c>
      <c r="D68" s="8"/>
      <c r="E68" s="8"/>
      <c r="F68" s="8" t="s">
        <v>617</v>
      </c>
      <c r="G68" s="8"/>
      <c r="H68" s="10">
        <v>3.2</v>
      </c>
      <c r="I68" s="54">
        <f>VLOOKUP(A68,İstasyonlar!$A$2:$D$776,4,0)</f>
        <v>1000000</v>
      </c>
      <c r="J68" s="54">
        <f t="shared" si="3"/>
        <v>22</v>
      </c>
      <c r="K68" t="str">
        <f t="shared" si="2"/>
        <v/>
      </c>
    </row>
    <row r="69" spans="1:11" x14ac:dyDescent="0.3">
      <c r="A69" s="9" t="s">
        <v>16</v>
      </c>
      <c r="B69" s="47" t="s">
        <v>103</v>
      </c>
      <c r="C69" s="8" t="s">
        <v>619</v>
      </c>
      <c r="D69" s="8"/>
      <c r="E69" s="8"/>
      <c r="F69" s="8" t="s">
        <v>617</v>
      </c>
      <c r="G69" s="8"/>
      <c r="H69" s="10">
        <v>3.2</v>
      </c>
      <c r="I69" s="54">
        <f>VLOOKUP(A69,İstasyonlar!$A$2:$D$776,4,0)</f>
        <v>1000000</v>
      </c>
      <c r="J69" s="54">
        <f t="shared" si="3"/>
        <v>22</v>
      </c>
      <c r="K69" t="str">
        <f t="shared" si="2"/>
        <v/>
      </c>
    </row>
    <row r="70" spans="1:11" x14ac:dyDescent="0.3">
      <c r="A70" s="9" t="s">
        <v>16</v>
      </c>
      <c r="B70" s="47" t="s">
        <v>104</v>
      </c>
      <c r="C70" s="8" t="s">
        <v>619</v>
      </c>
      <c r="D70" s="8"/>
      <c r="E70" s="8"/>
      <c r="F70" s="8" t="s">
        <v>617</v>
      </c>
      <c r="G70" s="8"/>
      <c r="H70" s="10">
        <v>4.5</v>
      </c>
      <c r="I70" s="54">
        <f>VLOOKUP(A70,İstasyonlar!$A$2:$D$776,4,0)</f>
        <v>1000000</v>
      </c>
      <c r="J70" s="54">
        <f t="shared" si="3"/>
        <v>22</v>
      </c>
      <c r="K70" t="str">
        <f t="shared" si="2"/>
        <v/>
      </c>
    </row>
    <row r="71" spans="1:11" x14ac:dyDescent="0.3">
      <c r="A71" s="9" t="s">
        <v>16</v>
      </c>
      <c r="B71" s="47" t="s">
        <v>105</v>
      </c>
      <c r="C71" s="8" t="s">
        <v>619</v>
      </c>
      <c r="D71" s="8"/>
      <c r="E71" s="8"/>
      <c r="F71" s="8" t="s">
        <v>617</v>
      </c>
      <c r="G71" s="8"/>
      <c r="H71" s="10">
        <v>6.8</v>
      </c>
      <c r="I71" s="54">
        <f>VLOOKUP(A71,İstasyonlar!$A$2:$D$776,4,0)</f>
        <v>1000000</v>
      </c>
      <c r="J71" s="54">
        <f t="shared" si="3"/>
        <v>22</v>
      </c>
      <c r="K71" t="str">
        <f t="shared" si="2"/>
        <v/>
      </c>
    </row>
    <row r="72" spans="1:11" x14ac:dyDescent="0.3">
      <c r="A72" s="9" t="s">
        <v>17</v>
      </c>
      <c r="B72" s="47" t="s">
        <v>108</v>
      </c>
      <c r="C72" s="8" t="s">
        <v>618</v>
      </c>
      <c r="D72" s="8" t="s">
        <v>619</v>
      </c>
      <c r="E72" s="8" t="s">
        <v>620</v>
      </c>
      <c r="F72" s="8"/>
      <c r="G72" s="8"/>
      <c r="H72" s="10">
        <v>3.1</v>
      </c>
      <c r="I72" s="54">
        <f>VLOOKUP(A72,İstasyonlar!$A$2:$D$776,4,0)</f>
        <v>1000000</v>
      </c>
      <c r="J72" s="54">
        <f t="shared" si="3"/>
        <v>23</v>
      </c>
      <c r="K72" t="str">
        <f t="shared" si="2"/>
        <v/>
      </c>
    </row>
    <row r="73" spans="1:11" x14ac:dyDescent="0.3">
      <c r="A73" s="9" t="s">
        <v>17</v>
      </c>
      <c r="B73" s="47" t="s">
        <v>109</v>
      </c>
      <c r="C73" s="8" t="s">
        <v>618</v>
      </c>
      <c r="D73" s="8" t="s">
        <v>619</v>
      </c>
      <c r="E73" s="8" t="s">
        <v>620</v>
      </c>
      <c r="F73" s="8"/>
      <c r="G73" s="8"/>
      <c r="H73" s="10">
        <v>2.5</v>
      </c>
      <c r="I73" s="54">
        <f>VLOOKUP(A73,İstasyonlar!$A$2:$D$776,4,0)</f>
        <v>1000000</v>
      </c>
      <c r="J73" s="54">
        <f t="shared" si="3"/>
        <v>23</v>
      </c>
      <c r="K73" t="str">
        <f t="shared" si="2"/>
        <v/>
      </c>
    </row>
    <row r="74" spans="1:11" x14ac:dyDescent="0.3">
      <c r="A74" s="9" t="s">
        <v>17</v>
      </c>
      <c r="B74" s="47" t="s">
        <v>110</v>
      </c>
      <c r="C74" s="8" t="s">
        <v>618</v>
      </c>
      <c r="D74" s="8" t="s">
        <v>619</v>
      </c>
      <c r="E74" s="8" t="s">
        <v>620</v>
      </c>
      <c r="F74" s="8"/>
      <c r="G74" s="8"/>
      <c r="H74" s="10">
        <v>3.1</v>
      </c>
      <c r="I74" s="54">
        <f>VLOOKUP(A74,İstasyonlar!$A$2:$D$776,4,0)</f>
        <v>1000000</v>
      </c>
      <c r="J74" s="54">
        <f t="shared" si="3"/>
        <v>23</v>
      </c>
      <c r="K74" t="str">
        <f t="shared" si="2"/>
        <v/>
      </c>
    </row>
    <row r="75" spans="1:11" x14ac:dyDescent="0.3">
      <c r="A75" s="9" t="s">
        <v>17</v>
      </c>
      <c r="B75" s="47" t="s">
        <v>111</v>
      </c>
      <c r="C75" s="8" t="s">
        <v>618</v>
      </c>
      <c r="D75" s="8" t="s">
        <v>619</v>
      </c>
      <c r="E75" s="8" t="s">
        <v>620</v>
      </c>
      <c r="F75" s="8"/>
      <c r="G75" s="8"/>
      <c r="H75" s="10">
        <v>5.5</v>
      </c>
      <c r="I75" s="54">
        <f>VLOOKUP(A75,İstasyonlar!$A$2:$D$776,4,0)</f>
        <v>1000000</v>
      </c>
      <c r="J75" s="54">
        <f t="shared" si="3"/>
        <v>23</v>
      </c>
      <c r="K75" t="str">
        <f t="shared" si="2"/>
        <v/>
      </c>
    </row>
    <row r="76" spans="1:11" x14ac:dyDescent="0.3">
      <c r="A76" s="9" t="s">
        <v>20</v>
      </c>
      <c r="B76" s="47" t="s">
        <v>112</v>
      </c>
      <c r="C76" s="8" t="s">
        <v>621</v>
      </c>
      <c r="D76" s="8"/>
      <c r="E76" s="8"/>
      <c r="F76" s="8"/>
      <c r="G76" s="8"/>
      <c r="H76" s="10">
        <v>4.5</v>
      </c>
      <c r="I76" s="54">
        <f>VLOOKUP(A76,İstasyonlar!$A$2:$D$776,4,0)</f>
        <v>1000000</v>
      </c>
      <c r="J76" s="54">
        <f t="shared" si="3"/>
        <v>24</v>
      </c>
      <c r="K76" t="str">
        <f t="shared" si="2"/>
        <v/>
      </c>
    </row>
    <row r="77" spans="1:11" x14ac:dyDescent="0.3">
      <c r="A77" s="9" t="s">
        <v>20</v>
      </c>
      <c r="B77" s="47" t="s">
        <v>113</v>
      </c>
      <c r="C77" s="8" t="s">
        <v>621</v>
      </c>
      <c r="D77" s="8"/>
      <c r="E77" s="8"/>
      <c r="F77" s="8"/>
      <c r="G77" s="8"/>
      <c r="H77" s="10">
        <v>3.8</v>
      </c>
      <c r="I77" s="54">
        <f>VLOOKUP(A77,İstasyonlar!$A$2:$D$776,4,0)</f>
        <v>1000000</v>
      </c>
      <c r="J77" s="54">
        <f t="shared" si="3"/>
        <v>24</v>
      </c>
      <c r="K77" t="str">
        <f t="shared" si="2"/>
        <v/>
      </c>
    </row>
    <row r="78" spans="1:11" x14ac:dyDescent="0.3">
      <c r="A78" s="9" t="s">
        <v>20</v>
      </c>
      <c r="B78" s="47" t="s">
        <v>114</v>
      </c>
      <c r="C78" s="8" t="s">
        <v>621</v>
      </c>
      <c r="D78" s="8"/>
      <c r="E78" s="8"/>
      <c r="F78" s="8"/>
      <c r="G78" s="8"/>
      <c r="H78" s="10">
        <v>3.6</v>
      </c>
      <c r="I78" s="54">
        <f>VLOOKUP(A78,İstasyonlar!$A$2:$D$776,4,0)</f>
        <v>1000000</v>
      </c>
      <c r="J78" s="54">
        <f t="shared" si="3"/>
        <v>24</v>
      </c>
      <c r="K78" t="str">
        <f t="shared" si="2"/>
        <v/>
      </c>
    </row>
    <row r="79" spans="1:11" x14ac:dyDescent="0.3">
      <c r="A79" s="9" t="s">
        <v>20</v>
      </c>
      <c r="B79" s="47" t="s">
        <v>115</v>
      </c>
      <c r="C79" s="8" t="s">
        <v>621</v>
      </c>
      <c r="D79" s="8"/>
      <c r="E79" s="8"/>
      <c r="F79" s="8"/>
      <c r="G79" s="8"/>
      <c r="H79" s="10">
        <v>3.4</v>
      </c>
      <c r="I79" s="54">
        <f>VLOOKUP(A79,İstasyonlar!$A$2:$D$776,4,0)</f>
        <v>1000000</v>
      </c>
      <c r="J79" s="54">
        <f t="shared" si="3"/>
        <v>24</v>
      </c>
      <c r="K79" t="str">
        <f t="shared" si="2"/>
        <v/>
      </c>
    </row>
    <row r="80" spans="1:11" x14ac:dyDescent="0.3">
      <c r="A80" s="9" t="s">
        <v>20</v>
      </c>
      <c r="B80" s="47" t="s">
        <v>116</v>
      </c>
      <c r="C80" s="8" t="s">
        <v>621</v>
      </c>
      <c r="D80" s="8"/>
      <c r="E80" s="8"/>
      <c r="F80" s="8"/>
      <c r="G80" s="8"/>
      <c r="H80" s="10">
        <v>3.8</v>
      </c>
      <c r="I80" s="54">
        <f>VLOOKUP(A80,İstasyonlar!$A$2:$D$776,4,0)</f>
        <v>1000000</v>
      </c>
      <c r="J80" s="54">
        <f t="shared" si="3"/>
        <v>24</v>
      </c>
      <c r="K80" t="str">
        <f t="shared" si="2"/>
        <v/>
      </c>
    </row>
    <row r="81" spans="1:11" x14ac:dyDescent="0.3">
      <c r="A81" s="9" t="s">
        <v>20</v>
      </c>
      <c r="B81" s="47" t="s">
        <v>117</v>
      </c>
      <c r="C81" s="8" t="s">
        <v>621</v>
      </c>
      <c r="D81" s="8"/>
      <c r="E81" s="8"/>
      <c r="F81" s="8"/>
      <c r="G81" s="8"/>
      <c r="H81" s="10">
        <v>3.1</v>
      </c>
      <c r="I81" s="54">
        <f>VLOOKUP(A81,İstasyonlar!$A$2:$D$776,4,0)</f>
        <v>1000000</v>
      </c>
      <c r="J81" s="54">
        <f t="shared" si="3"/>
        <v>24</v>
      </c>
      <c r="K81" t="str">
        <f t="shared" si="2"/>
        <v/>
      </c>
    </row>
    <row r="82" spans="1:11" x14ac:dyDescent="0.3">
      <c r="A82" s="9" t="s">
        <v>21</v>
      </c>
      <c r="B82" s="47" t="s">
        <v>357</v>
      </c>
      <c r="C82" s="8" t="s">
        <v>602</v>
      </c>
      <c r="D82" s="8" t="s">
        <v>601</v>
      </c>
      <c r="E82" s="8"/>
      <c r="F82" s="8"/>
      <c r="G82" s="8"/>
      <c r="H82" s="10">
        <v>4.8</v>
      </c>
      <c r="I82" s="54">
        <f>VLOOKUP(A82,İstasyonlar!$A$2:$D$776,4,0)</f>
        <v>1000000</v>
      </c>
      <c r="J82" s="54">
        <f t="shared" si="3"/>
        <v>25</v>
      </c>
      <c r="K82" t="str">
        <f t="shared" si="2"/>
        <v/>
      </c>
    </row>
    <row r="83" spans="1:11" x14ac:dyDescent="0.3">
      <c r="A83" s="9" t="s">
        <v>21</v>
      </c>
      <c r="B83" s="47" t="s">
        <v>358</v>
      </c>
      <c r="C83" s="8" t="s">
        <v>602</v>
      </c>
      <c r="D83" s="8" t="s">
        <v>601</v>
      </c>
      <c r="E83" s="8"/>
      <c r="F83" s="8"/>
      <c r="G83" s="8"/>
      <c r="H83" s="10">
        <v>4.8</v>
      </c>
      <c r="I83" s="54">
        <f>VLOOKUP(A83,İstasyonlar!$A$2:$D$776,4,0)</f>
        <v>1000000</v>
      </c>
      <c r="J83" s="54">
        <f t="shared" si="3"/>
        <v>25</v>
      </c>
      <c r="K83" t="str">
        <f t="shared" si="2"/>
        <v/>
      </c>
    </row>
    <row r="84" spans="1:11" x14ac:dyDescent="0.3">
      <c r="A84" s="9" t="s">
        <v>22</v>
      </c>
      <c r="B84" s="47" t="s">
        <v>121</v>
      </c>
      <c r="C84" s="8" t="s">
        <v>603</v>
      </c>
      <c r="D84" s="8" t="s">
        <v>622</v>
      </c>
      <c r="E84" s="8"/>
      <c r="F84" s="8"/>
      <c r="G84" s="8"/>
      <c r="H84" s="10">
        <v>4.4000000000000004</v>
      </c>
      <c r="I84" s="54">
        <f>VLOOKUP(A84,İstasyonlar!$A$2:$D$776,4,0)</f>
        <v>999999999</v>
      </c>
      <c r="J84" s="54">
        <f t="shared" si="3"/>
        <v>26</v>
      </c>
      <c r="K84" t="str">
        <f t="shared" si="2"/>
        <v>Sabit</v>
      </c>
    </row>
    <row r="85" spans="1:11" x14ac:dyDescent="0.3">
      <c r="A85" s="9" t="s">
        <v>22</v>
      </c>
      <c r="B85" s="47" t="s">
        <v>122</v>
      </c>
      <c r="C85" s="8" t="s">
        <v>603</v>
      </c>
      <c r="D85" s="8" t="s">
        <v>622</v>
      </c>
      <c r="E85" s="8"/>
      <c r="F85" s="8"/>
      <c r="G85" s="8"/>
      <c r="H85" s="10">
        <v>3.5</v>
      </c>
      <c r="I85" s="54">
        <f>VLOOKUP(A85,İstasyonlar!$A$2:$D$776,4,0)</f>
        <v>999999999</v>
      </c>
      <c r="J85" s="54">
        <f t="shared" si="3"/>
        <v>26</v>
      </c>
      <c r="K85" t="str">
        <f t="shared" si="2"/>
        <v>Sabit</v>
      </c>
    </row>
    <row r="86" spans="1:11" x14ac:dyDescent="0.3">
      <c r="A86" s="9" t="s">
        <v>22</v>
      </c>
      <c r="B86" s="47" t="s">
        <v>123</v>
      </c>
      <c r="C86" s="8" t="s">
        <v>603</v>
      </c>
      <c r="D86" s="8" t="s">
        <v>622</v>
      </c>
      <c r="E86" s="8"/>
      <c r="F86" s="8"/>
      <c r="G86" s="8"/>
      <c r="H86" s="10">
        <v>3.6</v>
      </c>
      <c r="I86" s="54">
        <f>VLOOKUP(A86,İstasyonlar!$A$2:$D$776,4,0)</f>
        <v>999999999</v>
      </c>
      <c r="J86" s="54">
        <f t="shared" si="3"/>
        <v>26</v>
      </c>
      <c r="K86" t="str">
        <f t="shared" si="2"/>
        <v>Sabit</v>
      </c>
    </row>
    <row r="87" spans="1:11" x14ac:dyDescent="0.3">
      <c r="A87" s="9" t="s">
        <v>22</v>
      </c>
      <c r="B87" s="47" t="s">
        <v>360</v>
      </c>
      <c r="C87" s="8" t="s">
        <v>603</v>
      </c>
      <c r="D87" s="8" t="s">
        <v>622</v>
      </c>
      <c r="E87" s="8"/>
      <c r="F87" s="8"/>
      <c r="G87" s="8"/>
      <c r="H87" s="10">
        <v>2.6</v>
      </c>
      <c r="I87" s="54">
        <f>VLOOKUP(A87,İstasyonlar!$A$2:$D$776,4,0)</f>
        <v>999999999</v>
      </c>
      <c r="J87" s="54">
        <f t="shared" si="3"/>
        <v>26</v>
      </c>
      <c r="K87" t="str">
        <f t="shared" si="2"/>
        <v>Sabit</v>
      </c>
    </row>
    <row r="88" spans="1:11" x14ac:dyDescent="0.3">
      <c r="A88" s="9" t="s">
        <v>23</v>
      </c>
      <c r="B88" s="47" t="s">
        <v>129</v>
      </c>
      <c r="C88" s="8" t="s">
        <v>622</v>
      </c>
      <c r="D88" s="8" t="s">
        <v>623</v>
      </c>
      <c r="E88" s="8" t="s">
        <v>624</v>
      </c>
      <c r="F88" s="8"/>
      <c r="G88" s="8"/>
      <c r="H88" s="10">
        <v>4.5</v>
      </c>
      <c r="I88" s="54">
        <f>VLOOKUP(A88,İstasyonlar!$A$2:$D$776,4,0)</f>
        <v>999999999</v>
      </c>
      <c r="J88" s="54">
        <f t="shared" si="3"/>
        <v>27</v>
      </c>
      <c r="K88" t="str">
        <f t="shared" si="2"/>
        <v>Sabit</v>
      </c>
    </row>
    <row r="89" spans="1:11" x14ac:dyDescent="0.3">
      <c r="A89" s="9" t="s">
        <v>23</v>
      </c>
      <c r="B89" s="47" t="s">
        <v>125</v>
      </c>
      <c r="C89" s="8" t="s">
        <v>622</v>
      </c>
      <c r="D89" s="8" t="s">
        <v>623</v>
      </c>
      <c r="E89" s="8" t="s">
        <v>624</v>
      </c>
      <c r="F89" s="8"/>
      <c r="G89" s="8"/>
      <c r="H89" s="10">
        <v>5.8</v>
      </c>
      <c r="I89" s="54">
        <f>VLOOKUP(A89,İstasyonlar!$A$2:$D$776,4,0)</f>
        <v>999999999</v>
      </c>
      <c r="J89" s="54">
        <f t="shared" si="3"/>
        <v>27</v>
      </c>
      <c r="K89" t="str">
        <f t="shared" si="2"/>
        <v>Sabit</v>
      </c>
    </row>
    <row r="90" spans="1:11" x14ac:dyDescent="0.3">
      <c r="A90" s="9" t="s">
        <v>23</v>
      </c>
      <c r="B90" s="47" t="s">
        <v>126</v>
      </c>
      <c r="C90" s="8" t="s">
        <v>622</v>
      </c>
      <c r="D90" s="8" t="s">
        <v>623</v>
      </c>
      <c r="E90" s="8" t="s">
        <v>624</v>
      </c>
      <c r="F90" s="8"/>
      <c r="G90" s="8"/>
      <c r="H90" s="10">
        <v>3.6</v>
      </c>
      <c r="I90" s="54">
        <f>VLOOKUP(A90,İstasyonlar!$A$2:$D$776,4,0)</f>
        <v>999999999</v>
      </c>
      <c r="J90" s="54">
        <f t="shared" si="3"/>
        <v>27</v>
      </c>
      <c r="K90" t="str">
        <f t="shared" si="2"/>
        <v>Sabit</v>
      </c>
    </row>
    <row r="91" spans="1:11" x14ac:dyDescent="0.3">
      <c r="A91" s="9" t="s">
        <v>23</v>
      </c>
      <c r="B91" s="47" t="s">
        <v>127</v>
      </c>
      <c r="C91" s="8" t="s">
        <v>622</v>
      </c>
      <c r="D91" s="8" t="s">
        <v>623</v>
      </c>
      <c r="E91" s="8" t="s">
        <v>624</v>
      </c>
      <c r="F91" s="8"/>
      <c r="G91" s="8"/>
      <c r="H91" s="10">
        <v>3.6</v>
      </c>
      <c r="I91" s="54">
        <f>VLOOKUP(A91,İstasyonlar!$A$2:$D$776,4,0)</f>
        <v>999999999</v>
      </c>
      <c r="J91" s="54">
        <f t="shared" si="3"/>
        <v>27</v>
      </c>
      <c r="K91" t="str">
        <f t="shared" si="2"/>
        <v>Sabit</v>
      </c>
    </row>
    <row r="92" spans="1:11" x14ac:dyDescent="0.3">
      <c r="A92" s="9" t="s">
        <v>23</v>
      </c>
      <c r="B92" s="47" t="s">
        <v>128</v>
      </c>
      <c r="C92" s="8" t="s">
        <v>622</v>
      </c>
      <c r="D92" s="8" t="s">
        <v>623</v>
      </c>
      <c r="E92" s="8" t="s">
        <v>624</v>
      </c>
      <c r="F92" s="8"/>
      <c r="G92" s="8"/>
      <c r="H92" s="10">
        <v>3.6</v>
      </c>
      <c r="I92" s="54">
        <f>VLOOKUP(A92,İstasyonlar!$A$2:$D$776,4,0)</f>
        <v>999999999</v>
      </c>
      <c r="J92" s="54">
        <f t="shared" si="3"/>
        <v>27</v>
      </c>
      <c r="K92" t="str">
        <f t="shared" si="2"/>
        <v>Sabit</v>
      </c>
    </row>
    <row r="93" spans="1:11" x14ac:dyDescent="0.3">
      <c r="A93" s="9" t="s">
        <v>18</v>
      </c>
      <c r="B93" s="47" t="s">
        <v>131</v>
      </c>
      <c r="C93" s="8" t="s">
        <v>620</v>
      </c>
      <c r="D93" s="8" t="s">
        <v>617</v>
      </c>
      <c r="E93" s="8"/>
      <c r="F93" s="8"/>
      <c r="G93" s="8"/>
      <c r="H93" s="10">
        <v>3.5</v>
      </c>
      <c r="I93" s="54">
        <f>VLOOKUP(A93,İstasyonlar!$A$2:$D$776,4,0)</f>
        <v>1000000</v>
      </c>
      <c r="J93" s="54">
        <f t="shared" si="3"/>
        <v>28</v>
      </c>
      <c r="K93" t="str">
        <f t="shared" si="2"/>
        <v/>
      </c>
    </row>
    <row r="94" spans="1:11" x14ac:dyDescent="0.3">
      <c r="A94" s="9" t="s">
        <v>18</v>
      </c>
      <c r="B94" s="47" t="s">
        <v>132</v>
      </c>
      <c r="C94" s="8" t="s">
        <v>620</v>
      </c>
      <c r="D94" s="8" t="s">
        <v>617</v>
      </c>
      <c r="E94" s="8"/>
      <c r="F94" s="8"/>
      <c r="G94" s="8"/>
      <c r="H94" s="10">
        <v>4.5</v>
      </c>
      <c r="I94" s="54">
        <f>VLOOKUP(A94,İstasyonlar!$A$2:$D$776,4,0)</f>
        <v>1000000</v>
      </c>
      <c r="J94" s="54">
        <f t="shared" si="3"/>
        <v>28</v>
      </c>
      <c r="K94" t="str">
        <f t="shared" si="2"/>
        <v/>
      </c>
    </row>
    <row r="95" spans="1:11" x14ac:dyDescent="0.3">
      <c r="A95" s="9" t="s">
        <v>18</v>
      </c>
      <c r="B95" s="47" t="s">
        <v>133</v>
      </c>
      <c r="C95" s="8" t="s">
        <v>620</v>
      </c>
      <c r="D95" s="8" t="s">
        <v>617</v>
      </c>
      <c r="E95" s="8"/>
      <c r="F95" s="8"/>
      <c r="G95" s="8"/>
      <c r="H95" s="10">
        <v>4.2</v>
      </c>
      <c r="I95" s="54">
        <f>VLOOKUP(A95,İstasyonlar!$A$2:$D$776,4,0)</f>
        <v>1000000</v>
      </c>
      <c r="J95" s="54">
        <f t="shared" si="3"/>
        <v>28</v>
      </c>
      <c r="K95" t="str">
        <f t="shared" si="2"/>
        <v/>
      </c>
    </row>
    <row r="96" spans="1:11" x14ac:dyDescent="0.3">
      <c r="A96" s="9" t="s">
        <v>18</v>
      </c>
      <c r="B96" s="47" t="s">
        <v>134</v>
      </c>
      <c r="C96" s="8" t="s">
        <v>620</v>
      </c>
      <c r="D96" s="8" t="s">
        <v>617</v>
      </c>
      <c r="E96" s="8"/>
      <c r="F96" s="8"/>
      <c r="G96" s="8"/>
      <c r="H96" s="10">
        <v>2.8</v>
      </c>
      <c r="I96" s="54">
        <f>VLOOKUP(A96,İstasyonlar!$A$2:$D$776,4,0)</f>
        <v>1000000</v>
      </c>
      <c r="J96" s="54">
        <f t="shared" si="3"/>
        <v>28</v>
      </c>
      <c r="K96" t="str">
        <f t="shared" si="2"/>
        <v/>
      </c>
    </row>
    <row r="97" spans="1:11" x14ac:dyDescent="0.3">
      <c r="A97" s="9" t="s">
        <v>19</v>
      </c>
      <c r="B97" s="47" t="s">
        <v>135</v>
      </c>
      <c r="C97" s="8" t="s">
        <v>625</v>
      </c>
      <c r="D97" s="8" t="s">
        <v>620</v>
      </c>
      <c r="E97" s="8" t="s">
        <v>617</v>
      </c>
      <c r="F97" s="8"/>
      <c r="G97" s="8"/>
      <c r="H97" s="10">
        <v>3.5</v>
      </c>
      <c r="I97" s="54">
        <f>VLOOKUP(A97,İstasyonlar!$A$2:$D$776,4,0)</f>
        <v>1000000</v>
      </c>
      <c r="J97" s="54">
        <f t="shared" si="3"/>
        <v>29</v>
      </c>
      <c r="K97" t="str">
        <f t="shared" si="2"/>
        <v/>
      </c>
    </row>
    <row r="98" spans="1:11" x14ac:dyDescent="0.3">
      <c r="A98" s="9" t="s">
        <v>19</v>
      </c>
      <c r="B98" s="47" t="s">
        <v>136</v>
      </c>
      <c r="C98" s="8" t="s">
        <v>625</v>
      </c>
      <c r="D98" s="8" t="s">
        <v>620</v>
      </c>
      <c r="E98" s="8" t="s">
        <v>617</v>
      </c>
      <c r="F98" s="8"/>
      <c r="G98" s="8"/>
      <c r="H98" s="10">
        <v>3.8</v>
      </c>
      <c r="I98" s="54">
        <f>VLOOKUP(A98,İstasyonlar!$A$2:$D$776,4,0)</f>
        <v>1000000</v>
      </c>
      <c r="J98" s="54">
        <f t="shared" si="3"/>
        <v>29</v>
      </c>
      <c r="K98" t="str">
        <f t="shared" si="2"/>
        <v/>
      </c>
    </row>
    <row r="99" spans="1:11" x14ac:dyDescent="0.3">
      <c r="A99" s="9" t="s">
        <v>19</v>
      </c>
      <c r="B99" s="47" t="s">
        <v>137</v>
      </c>
      <c r="C99" s="8" t="s">
        <v>625</v>
      </c>
      <c r="D99" s="8" t="s">
        <v>620</v>
      </c>
      <c r="E99" s="8" t="s">
        <v>617</v>
      </c>
      <c r="F99" s="8"/>
      <c r="G99" s="8"/>
      <c r="H99" s="10">
        <v>4.8</v>
      </c>
      <c r="I99" s="54">
        <f>VLOOKUP(A99,İstasyonlar!$A$2:$D$776,4,0)</f>
        <v>1000000</v>
      </c>
      <c r="J99" s="54">
        <f t="shared" si="3"/>
        <v>29</v>
      </c>
      <c r="K99" t="str">
        <f t="shared" si="2"/>
        <v/>
      </c>
    </row>
    <row r="100" spans="1:11" x14ac:dyDescent="0.3">
      <c r="A100" s="9" t="s">
        <v>363</v>
      </c>
      <c r="B100" s="47" t="s">
        <v>364</v>
      </c>
      <c r="C100" s="8" t="s">
        <v>661</v>
      </c>
      <c r="D100" s="8"/>
      <c r="E100" s="8"/>
      <c r="F100" s="8"/>
      <c r="G100" s="8"/>
      <c r="H100" s="10">
        <v>2</v>
      </c>
      <c r="I100" s="54">
        <f>VLOOKUP(A100,İstasyonlar!$A$2:$D$776,4,0)</f>
        <v>999999999</v>
      </c>
      <c r="J100" s="54">
        <f t="shared" si="3"/>
        <v>30</v>
      </c>
      <c r="K100" t="str">
        <f t="shared" si="2"/>
        <v>Sabit</v>
      </c>
    </row>
    <row r="101" spans="1:11" x14ac:dyDescent="0.3">
      <c r="A101" s="9" t="s">
        <v>363</v>
      </c>
      <c r="B101" s="47" t="s">
        <v>365</v>
      </c>
      <c r="C101" s="8" t="s">
        <v>661</v>
      </c>
      <c r="D101" s="8"/>
      <c r="E101" s="8"/>
      <c r="F101" s="8"/>
      <c r="G101" s="8"/>
      <c r="H101" s="10">
        <v>3.1</v>
      </c>
      <c r="I101" s="54">
        <f>VLOOKUP(A101,İstasyonlar!$A$2:$D$776,4,0)</f>
        <v>999999999</v>
      </c>
      <c r="J101" s="54">
        <f t="shared" si="3"/>
        <v>30</v>
      </c>
      <c r="K101" t="str">
        <f t="shared" si="2"/>
        <v>Sabit</v>
      </c>
    </row>
    <row r="102" spans="1:11" x14ac:dyDescent="0.3">
      <c r="A102" s="9" t="s">
        <v>363</v>
      </c>
      <c r="B102" s="47" t="s">
        <v>366</v>
      </c>
      <c r="C102" s="8" t="s">
        <v>661</v>
      </c>
      <c r="D102" s="8"/>
      <c r="E102" s="8"/>
      <c r="F102" s="8"/>
      <c r="G102" s="8"/>
      <c r="H102" s="10">
        <v>4.8</v>
      </c>
      <c r="I102" s="54">
        <f>VLOOKUP(A102,İstasyonlar!$A$2:$D$776,4,0)</f>
        <v>999999999</v>
      </c>
      <c r="J102" s="54">
        <f t="shared" si="3"/>
        <v>30</v>
      </c>
      <c r="K102" t="str">
        <f t="shared" si="2"/>
        <v>Sabit</v>
      </c>
    </row>
    <row r="103" spans="1:11" x14ac:dyDescent="0.3">
      <c r="A103" s="9" t="s">
        <v>363</v>
      </c>
      <c r="B103" s="47" t="s">
        <v>367</v>
      </c>
      <c r="C103" s="8" t="s">
        <v>661</v>
      </c>
      <c r="D103" s="8"/>
      <c r="E103" s="8"/>
      <c r="F103" s="8"/>
      <c r="G103" s="8"/>
      <c r="H103" s="10">
        <v>2.8</v>
      </c>
      <c r="I103" s="54">
        <f>VLOOKUP(A103,İstasyonlar!$A$2:$D$776,4,0)</f>
        <v>999999999</v>
      </c>
      <c r="J103" s="54">
        <f t="shared" si="3"/>
        <v>30</v>
      </c>
      <c r="K103" t="str">
        <f t="shared" si="2"/>
        <v>Sabit</v>
      </c>
    </row>
    <row r="104" spans="1:11" x14ac:dyDescent="0.3">
      <c r="A104" s="9" t="s">
        <v>363</v>
      </c>
      <c r="B104" s="47" t="s">
        <v>368</v>
      </c>
      <c r="C104" s="8" t="s">
        <v>661</v>
      </c>
      <c r="D104" s="8"/>
      <c r="E104" s="8"/>
      <c r="F104" s="8"/>
      <c r="G104" s="8"/>
      <c r="H104" s="10">
        <v>1</v>
      </c>
      <c r="I104" s="54">
        <f>VLOOKUP(A104,İstasyonlar!$A$2:$D$776,4,0)</f>
        <v>999999999</v>
      </c>
      <c r="J104" s="54">
        <f t="shared" si="3"/>
        <v>30</v>
      </c>
      <c r="K104" t="str">
        <f t="shared" si="2"/>
        <v>Sabit</v>
      </c>
    </row>
    <row r="105" spans="1:11" x14ac:dyDescent="0.3">
      <c r="A105" s="9" t="s">
        <v>24</v>
      </c>
      <c r="B105" s="47" t="s">
        <v>138</v>
      </c>
      <c r="C105" s="8" t="s">
        <v>624</v>
      </c>
      <c r="D105" s="8"/>
      <c r="E105" s="8"/>
      <c r="F105" s="8"/>
      <c r="G105" s="8"/>
      <c r="H105" s="10">
        <v>3.1</v>
      </c>
      <c r="I105" s="54">
        <f>VLOOKUP(A105,İstasyonlar!$A$2:$D$776,4,0)</f>
        <v>1000000</v>
      </c>
      <c r="J105" s="54">
        <f t="shared" si="3"/>
        <v>31</v>
      </c>
      <c r="K105" t="str">
        <f t="shared" si="2"/>
        <v/>
      </c>
    </row>
    <row r="106" spans="1:11" x14ac:dyDescent="0.3">
      <c r="A106" s="9" t="s">
        <v>24</v>
      </c>
      <c r="B106" s="47" t="s">
        <v>139</v>
      </c>
      <c r="C106" s="8" t="s">
        <v>624</v>
      </c>
      <c r="D106" s="8"/>
      <c r="E106" s="8"/>
      <c r="F106" s="8"/>
      <c r="G106" s="8"/>
      <c r="H106" s="10">
        <v>3.5</v>
      </c>
      <c r="I106" s="54">
        <f>VLOOKUP(A106,İstasyonlar!$A$2:$D$776,4,0)</f>
        <v>1000000</v>
      </c>
      <c r="J106" s="54">
        <f t="shared" si="3"/>
        <v>31</v>
      </c>
      <c r="K106" t="str">
        <f t="shared" si="2"/>
        <v/>
      </c>
    </row>
    <row r="107" spans="1:11" x14ac:dyDescent="0.3">
      <c r="A107" s="9" t="s">
        <v>24</v>
      </c>
      <c r="B107" s="47" t="s">
        <v>140</v>
      </c>
      <c r="C107" s="8" t="s">
        <v>624</v>
      </c>
      <c r="D107" s="8"/>
      <c r="E107" s="8"/>
      <c r="F107" s="8"/>
      <c r="G107" s="8"/>
      <c r="H107" s="10">
        <v>3.1</v>
      </c>
      <c r="I107" s="54">
        <f>VLOOKUP(A107,İstasyonlar!$A$2:$D$776,4,0)</f>
        <v>1000000</v>
      </c>
      <c r="J107" s="54">
        <f t="shared" si="3"/>
        <v>31</v>
      </c>
      <c r="K107" t="str">
        <f t="shared" si="2"/>
        <v/>
      </c>
    </row>
    <row r="108" spans="1:11" x14ac:dyDescent="0.3">
      <c r="A108" s="9" t="s">
        <v>24</v>
      </c>
      <c r="B108" s="47" t="s">
        <v>369</v>
      </c>
      <c r="C108" s="8" t="s">
        <v>624</v>
      </c>
      <c r="D108" s="8"/>
      <c r="E108" s="8"/>
      <c r="F108" s="8"/>
      <c r="G108" s="8"/>
      <c r="H108" s="10">
        <v>3.1</v>
      </c>
      <c r="I108" s="54">
        <f>VLOOKUP(A108,İstasyonlar!$A$2:$D$776,4,0)</f>
        <v>1000000</v>
      </c>
      <c r="J108" s="54">
        <f t="shared" si="3"/>
        <v>31</v>
      </c>
      <c r="K108" t="str">
        <f t="shared" si="2"/>
        <v/>
      </c>
    </row>
    <row r="109" spans="1:11" x14ac:dyDescent="0.3">
      <c r="A109" s="9" t="s">
        <v>25</v>
      </c>
      <c r="B109" s="47" t="s">
        <v>142</v>
      </c>
      <c r="C109" s="8" t="s">
        <v>626</v>
      </c>
      <c r="D109" s="8"/>
      <c r="E109" s="8"/>
      <c r="F109" s="8"/>
      <c r="G109" s="8"/>
      <c r="H109" s="10">
        <v>6.2</v>
      </c>
      <c r="I109" s="54">
        <f>VLOOKUP(A109,İstasyonlar!$A$2:$D$776,4,0)</f>
        <v>1000000</v>
      </c>
      <c r="J109" s="54">
        <f t="shared" si="3"/>
        <v>32</v>
      </c>
      <c r="K109" t="str">
        <f t="shared" si="2"/>
        <v/>
      </c>
    </row>
    <row r="110" spans="1:11" x14ac:dyDescent="0.3">
      <c r="A110" s="9" t="s">
        <v>25</v>
      </c>
      <c r="B110" s="47" t="s">
        <v>143</v>
      </c>
      <c r="C110" s="8" t="s">
        <v>626</v>
      </c>
      <c r="D110" s="8"/>
      <c r="E110" s="8"/>
      <c r="F110" s="8"/>
      <c r="G110" s="8"/>
      <c r="H110" s="10">
        <v>4.5</v>
      </c>
      <c r="I110" s="54">
        <f>VLOOKUP(A110,İstasyonlar!$A$2:$D$776,4,0)</f>
        <v>1000000</v>
      </c>
      <c r="J110" s="54">
        <f t="shared" si="3"/>
        <v>32</v>
      </c>
      <c r="K110" t="str">
        <f t="shared" si="2"/>
        <v/>
      </c>
    </row>
    <row r="111" spans="1:11" x14ac:dyDescent="0.3">
      <c r="A111" s="9" t="s">
        <v>25</v>
      </c>
      <c r="B111" s="47" t="s">
        <v>144</v>
      </c>
      <c r="C111" s="8" t="s">
        <v>626</v>
      </c>
      <c r="D111" s="8"/>
      <c r="E111" s="8"/>
      <c r="F111" s="8"/>
      <c r="G111" s="8"/>
      <c r="H111" s="10">
        <v>2.5</v>
      </c>
      <c r="I111" s="54">
        <f>VLOOKUP(A111,İstasyonlar!$A$2:$D$776,4,0)</f>
        <v>1000000</v>
      </c>
      <c r="J111" s="54">
        <f t="shared" si="3"/>
        <v>32</v>
      </c>
      <c r="K111" t="str">
        <f t="shared" si="2"/>
        <v/>
      </c>
    </row>
    <row r="112" spans="1:11" x14ac:dyDescent="0.3">
      <c r="A112" s="9" t="s">
        <v>26</v>
      </c>
      <c r="B112" s="47" t="s">
        <v>146</v>
      </c>
      <c r="C112" s="8" t="s">
        <v>627</v>
      </c>
      <c r="D112" s="8" t="s">
        <v>628</v>
      </c>
      <c r="E112" s="8" t="s">
        <v>626</v>
      </c>
      <c r="F112" s="8"/>
      <c r="G112" s="8"/>
      <c r="H112" s="10">
        <v>1</v>
      </c>
      <c r="I112" s="54">
        <f>VLOOKUP(A112,İstasyonlar!$A$2:$D$776,4,0)</f>
        <v>1000000</v>
      </c>
      <c r="J112" s="54">
        <f t="shared" si="3"/>
        <v>33</v>
      </c>
      <c r="K112" t="str">
        <f t="shared" si="2"/>
        <v/>
      </c>
    </row>
    <row r="113" spans="1:11" x14ac:dyDescent="0.3">
      <c r="A113" s="9" t="s">
        <v>26</v>
      </c>
      <c r="B113" s="47" t="s">
        <v>147</v>
      </c>
      <c r="C113" s="8" t="s">
        <v>627</v>
      </c>
      <c r="D113" s="8" t="s">
        <v>628</v>
      </c>
      <c r="E113" s="8" t="s">
        <v>626</v>
      </c>
      <c r="F113" s="8"/>
      <c r="G113" s="8"/>
      <c r="H113" s="10">
        <v>2.4</v>
      </c>
      <c r="I113" s="54">
        <f>VLOOKUP(A113,İstasyonlar!$A$2:$D$776,4,0)</f>
        <v>1000000</v>
      </c>
      <c r="J113" s="54">
        <f t="shared" si="3"/>
        <v>33</v>
      </c>
      <c r="K113" t="str">
        <f t="shared" si="2"/>
        <v/>
      </c>
    </row>
    <row r="114" spans="1:11" x14ac:dyDescent="0.3">
      <c r="A114" s="9" t="s">
        <v>26</v>
      </c>
      <c r="B114" s="47" t="s">
        <v>148</v>
      </c>
      <c r="C114" s="8" t="s">
        <v>627</v>
      </c>
      <c r="D114" s="8" t="s">
        <v>628</v>
      </c>
      <c r="E114" s="8" t="s">
        <v>626</v>
      </c>
      <c r="F114" s="8"/>
      <c r="G114" s="8"/>
      <c r="H114" s="10">
        <v>4.0999999999999996</v>
      </c>
      <c r="I114" s="54">
        <f>VLOOKUP(A114,İstasyonlar!$A$2:$D$776,4,0)</f>
        <v>1000000</v>
      </c>
      <c r="J114" s="54">
        <f t="shared" si="3"/>
        <v>33</v>
      </c>
      <c r="K114" t="str">
        <f t="shared" si="2"/>
        <v/>
      </c>
    </row>
    <row r="115" spans="1:11" x14ac:dyDescent="0.3">
      <c r="A115" s="9" t="s">
        <v>26</v>
      </c>
      <c r="B115" s="47" t="s">
        <v>374</v>
      </c>
      <c r="C115" s="8" t="s">
        <v>627</v>
      </c>
      <c r="D115" s="8" t="s">
        <v>628</v>
      </c>
      <c r="E115" s="8" t="s">
        <v>626</v>
      </c>
      <c r="F115" s="8"/>
      <c r="G115" s="8"/>
      <c r="H115" s="10">
        <v>4.0999999999999996</v>
      </c>
      <c r="I115" s="54">
        <f>VLOOKUP(A115,İstasyonlar!$A$2:$D$776,4,0)</f>
        <v>1000000</v>
      </c>
      <c r="J115" s="54">
        <f t="shared" si="3"/>
        <v>33</v>
      </c>
      <c r="K115" t="str">
        <f t="shared" si="2"/>
        <v/>
      </c>
    </row>
    <row r="116" spans="1:11" x14ac:dyDescent="0.3">
      <c r="A116" s="9" t="s">
        <v>27</v>
      </c>
      <c r="B116" s="47" t="s">
        <v>150</v>
      </c>
      <c r="C116" s="8" t="s">
        <v>628</v>
      </c>
      <c r="D116" s="8" t="s">
        <v>627</v>
      </c>
      <c r="E116" s="8" t="s">
        <v>623</v>
      </c>
      <c r="F116" s="8" t="s">
        <v>626</v>
      </c>
      <c r="G116" s="8"/>
      <c r="H116" s="10">
        <v>12.5</v>
      </c>
      <c r="I116" s="54">
        <f>VLOOKUP(A116,İstasyonlar!$A$2:$D$776,4,0)</f>
        <v>1000000</v>
      </c>
      <c r="J116" s="54">
        <f t="shared" si="3"/>
        <v>34</v>
      </c>
      <c r="K116" t="str">
        <f t="shared" si="2"/>
        <v/>
      </c>
    </row>
    <row r="117" spans="1:11" x14ac:dyDescent="0.3">
      <c r="A117" s="9" t="s">
        <v>27</v>
      </c>
      <c r="B117" s="47" t="s">
        <v>151</v>
      </c>
      <c r="C117" s="8" t="s">
        <v>628</v>
      </c>
      <c r="D117" s="8" t="s">
        <v>627</v>
      </c>
      <c r="E117" s="8" t="s">
        <v>623</v>
      </c>
      <c r="F117" s="8" t="s">
        <v>626</v>
      </c>
      <c r="G117" s="8"/>
      <c r="H117" s="10">
        <v>6.1</v>
      </c>
      <c r="I117" s="54">
        <f>VLOOKUP(A117,İstasyonlar!$A$2:$D$776,4,0)</f>
        <v>1000000</v>
      </c>
      <c r="J117" s="54">
        <f t="shared" si="3"/>
        <v>34</v>
      </c>
      <c r="K117" t="str">
        <f t="shared" si="2"/>
        <v/>
      </c>
    </row>
    <row r="118" spans="1:11" x14ac:dyDescent="0.3">
      <c r="A118" s="9" t="s">
        <v>28</v>
      </c>
      <c r="B118" s="47" t="s">
        <v>152</v>
      </c>
      <c r="C118" s="8" t="s">
        <v>630</v>
      </c>
      <c r="D118" s="8"/>
      <c r="E118" s="8"/>
      <c r="F118" s="8"/>
      <c r="G118" s="8"/>
      <c r="H118" s="10">
        <v>4.5</v>
      </c>
      <c r="I118" s="54">
        <f>VLOOKUP(A118,İstasyonlar!$A$2:$D$776,4,0)</f>
        <v>1000000</v>
      </c>
      <c r="J118" s="54">
        <f t="shared" si="3"/>
        <v>35</v>
      </c>
      <c r="K118" t="str">
        <f t="shared" si="2"/>
        <v/>
      </c>
    </row>
    <row r="119" spans="1:11" x14ac:dyDescent="0.3">
      <c r="A119" s="9" t="s">
        <v>28</v>
      </c>
      <c r="B119" s="47" t="s">
        <v>153</v>
      </c>
      <c r="C119" s="8" t="s">
        <v>630</v>
      </c>
      <c r="D119" s="8"/>
      <c r="E119" s="8"/>
      <c r="F119" s="8"/>
      <c r="G119" s="8"/>
      <c r="H119" s="10">
        <v>3.5</v>
      </c>
      <c r="I119" s="54">
        <f>VLOOKUP(A119,İstasyonlar!$A$2:$D$776,4,0)</f>
        <v>1000000</v>
      </c>
      <c r="J119" s="54">
        <f t="shared" si="3"/>
        <v>35</v>
      </c>
      <c r="K119" t="str">
        <f t="shared" si="2"/>
        <v/>
      </c>
    </row>
    <row r="120" spans="1:11" x14ac:dyDescent="0.3">
      <c r="A120" s="9" t="s">
        <v>28</v>
      </c>
      <c r="B120" s="47" t="s">
        <v>154</v>
      </c>
      <c r="C120" s="8" t="s">
        <v>630</v>
      </c>
      <c r="D120" s="8"/>
      <c r="E120" s="8"/>
      <c r="F120" s="8"/>
      <c r="G120" s="8"/>
      <c r="H120" s="10">
        <v>3.1</v>
      </c>
      <c r="I120" s="54">
        <f>VLOOKUP(A120,İstasyonlar!$A$2:$D$776,4,0)</f>
        <v>1000000</v>
      </c>
      <c r="J120" s="54">
        <f t="shared" si="3"/>
        <v>35</v>
      </c>
      <c r="K120" t="str">
        <f t="shared" si="2"/>
        <v/>
      </c>
    </row>
    <row r="121" spans="1:11" x14ac:dyDescent="0.3">
      <c r="A121" s="9" t="s">
        <v>28</v>
      </c>
      <c r="B121" s="47" t="s">
        <v>155</v>
      </c>
      <c r="C121" s="8" t="s">
        <v>630</v>
      </c>
      <c r="D121" s="8"/>
      <c r="E121" s="8"/>
      <c r="F121" s="8"/>
      <c r="G121" s="8"/>
      <c r="H121" s="10">
        <v>3.1</v>
      </c>
      <c r="I121" s="54">
        <f>VLOOKUP(A121,İstasyonlar!$A$2:$D$776,4,0)</f>
        <v>1000000</v>
      </c>
      <c r="J121" s="54">
        <f t="shared" si="3"/>
        <v>35</v>
      </c>
      <c r="K121" t="str">
        <f t="shared" si="2"/>
        <v/>
      </c>
    </row>
    <row r="122" spans="1:11" x14ac:dyDescent="0.3">
      <c r="A122" s="9" t="s">
        <v>29</v>
      </c>
      <c r="B122" s="47" t="s">
        <v>156</v>
      </c>
      <c r="C122" s="8" t="s">
        <v>623</v>
      </c>
      <c r="D122" s="8" t="s">
        <v>626</v>
      </c>
      <c r="E122" s="8"/>
      <c r="F122" s="8"/>
      <c r="G122" s="8"/>
      <c r="H122" s="10">
        <v>9.1999999999999993</v>
      </c>
      <c r="I122" s="54">
        <f>VLOOKUP(A122,İstasyonlar!$A$2:$D$776,4,0)</f>
        <v>1000000</v>
      </c>
      <c r="J122" s="54">
        <f t="shared" si="3"/>
        <v>36</v>
      </c>
      <c r="K122" t="str">
        <f t="shared" si="2"/>
        <v/>
      </c>
    </row>
    <row r="123" spans="1:11" x14ac:dyDescent="0.3">
      <c r="A123" s="9" t="s">
        <v>29</v>
      </c>
      <c r="B123" s="47" t="s">
        <v>157</v>
      </c>
      <c r="C123" s="8" t="s">
        <v>623</v>
      </c>
      <c r="D123" s="8" t="s">
        <v>626</v>
      </c>
      <c r="E123" s="8"/>
      <c r="F123" s="8"/>
      <c r="G123" s="8"/>
      <c r="H123" s="10">
        <v>0.6</v>
      </c>
      <c r="I123" s="54">
        <f>VLOOKUP(A123,İstasyonlar!$A$2:$D$776,4,0)</f>
        <v>1000000</v>
      </c>
      <c r="J123" s="54">
        <f t="shared" si="3"/>
        <v>36</v>
      </c>
      <c r="K123" t="str">
        <f t="shared" si="2"/>
        <v/>
      </c>
    </row>
    <row r="124" spans="1:11" x14ac:dyDescent="0.3">
      <c r="A124" s="9" t="s">
        <v>29</v>
      </c>
      <c r="B124" s="47" t="s">
        <v>375</v>
      </c>
      <c r="C124" s="8" t="s">
        <v>623</v>
      </c>
      <c r="D124" s="8" t="s">
        <v>626</v>
      </c>
      <c r="E124" s="8"/>
      <c r="F124" s="8"/>
      <c r="G124" s="8"/>
      <c r="H124" s="10">
        <v>3.1</v>
      </c>
      <c r="I124" s="54">
        <f>VLOOKUP(A124,İstasyonlar!$A$2:$D$776,4,0)</f>
        <v>1000000</v>
      </c>
      <c r="J124" s="54">
        <f t="shared" si="3"/>
        <v>36</v>
      </c>
      <c r="K124" t="str">
        <f t="shared" si="2"/>
        <v/>
      </c>
    </row>
    <row r="125" spans="1:11" x14ac:dyDescent="0.3">
      <c r="A125" s="9" t="s">
        <v>29</v>
      </c>
      <c r="B125" s="47" t="s">
        <v>158</v>
      </c>
      <c r="C125" s="8" t="s">
        <v>623</v>
      </c>
      <c r="D125" s="8" t="s">
        <v>626</v>
      </c>
      <c r="E125" s="8"/>
      <c r="F125" s="8"/>
      <c r="G125" s="8"/>
      <c r="H125" s="10">
        <v>2.8</v>
      </c>
      <c r="I125" s="54">
        <f>VLOOKUP(A125,İstasyonlar!$A$2:$D$776,4,0)</f>
        <v>1000000</v>
      </c>
      <c r="J125" s="54">
        <f t="shared" si="3"/>
        <v>36</v>
      </c>
      <c r="K125" t="str">
        <f t="shared" si="2"/>
        <v/>
      </c>
    </row>
    <row r="126" spans="1:11" x14ac:dyDescent="0.3">
      <c r="A126" s="9" t="s">
        <v>57</v>
      </c>
      <c r="B126" s="47" t="s">
        <v>159</v>
      </c>
      <c r="C126" s="8" t="s">
        <v>631</v>
      </c>
      <c r="D126" s="8"/>
      <c r="E126" s="8"/>
      <c r="F126" s="8"/>
      <c r="G126" s="8"/>
      <c r="H126" s="10">
        <v>5.5</v>
      </c>
      <c r="I126" s="54">
        <f>VLOOKUP(A126,İstasyonlar!$A$2:$D$776,4,0)</f>
        <v>1000000</v>
      </c>
      <c r="J126" s="54">
        <f t="shared" si="3"/>
        <v>37</v>
      </c>
      <c r="K126" t="str">
        <f t="shared" si="2"/>
        <v/>
      </c>
    </row>
    <row r="127" spans="1:11" x14ac:dyDescent="0.3">
      <c r="A127" s="9" t="s">
        <v>57</v>
      </c>
      <c r="B127" s="47" t="s">
        <v>160</v>
      </c>
      <c r="C127" s="8" t="s">
        <v>631</v>
      </c>
      <c r="D127" s="8"/>
      <c r="E127" s="8"/>
      <c r="F127" s="8"/>
      <c r="G127" s="8"/>
      <c r="H127" s="10">
        <v>3.1</v>
      </c>
      <c r="I127" s="54">
        <f>VLOOKUP(A127,İstasyonlar!$A$2:$D$776,4,0)</f>
        <v>1000000</v>
      </c>
      <c r="J127" s="54">
        <f t="shared" si="3"/>
        <v>37</v>
      </c>
      <c r="K127" t="str">
        <f t="shared" si="2"/>
        <v/>
      </c>
    </row>
    <row r="128" spans="1:11" x14ac:dyDescent="0.3">
      <c r="A128" s="9" t="s">
        <v>57</v>
      </c>
      <c r="B128" s="47" t="s">
        <v>161</v>
      </c>
      <c r="C128" s="8" t="s">
        <v>631</v>
      </c>
      <c r="D128" s="8"/>
      <c r="E128" s="8"/>
      <c r="F128" s="8"/>
      <c r="G128" s="8"/>
      <c r="H128" s="10">
        <v>3.1</v>
      </c>
      <c r="I128" s="54">
        <f>VLOOKUP(A128,İstasyonlar!$A$2:$D$776,4,0)</f>
        <v>1000000</v>
      </c>
      <c r="J128" s="54">
        <f t="shared" si="3"/>
        <v>37</v>
      </c>
      <c r="K128" t="str">
        <f t="shared" si="2"/>
        <v/>
      </c>
    </row>
    <row r="129" spans="1:11" x14ac:dyDescent="0.3">
      <c r="A129" s="9" t="s">
        <v>57</v>
      </c>
      <c r="B129" s="47" t="s">
        <v>162</v>
      </c>
      <c r="C129" s="8" t="s">
        <v>631</v>
      </c>
      <c r="D129" s="8"/>
      <c r="E129" s="8"/>
      <c r="F129" s="8"/>
      <c r="G129" s="8"/>
      <c r="H129" s="10">
        <v>2.5</v>
      </c>
      <c r="I129" s="54">
        <f>VLOOKUP(A129,İstasyonlar!$A$2:$D$776,4,0)</f>
        <v>1000000</v>
      </c>
      <c r="J129" s="54">
        <f t="shared" si="3"/>
        <v>37</v>
      </c>
      <c r="K129" t="str">
        <f t="shared" si="2"/>
        <v/>
      </c>
    </row>
    <row r="130" spans="1:11" x14ac:dyDescent="0.3">
      <c r="A130" s="9" t="s">
        <v>377</v>
      </c>
      <c r="B130" s="47" t="s">
        <v>378</v>
      </c>
      <c r="C130" s="8" t="s">
        <v>633</v>
      </c>
      <c r="D130" s="8"/>
      <c r="E130" s="8"/>
      <c r="F130" s="8"/>
      <c r="G130" s="8"/>
      <c r="H130" s="10">
        <v>6.1</v>
      </c>
      <c r="I130" s="54">
        <f>VLOOKUP(A130,İstasyonlar!$A$2:$D$776,4,0)</f>
        <v>1000000</v>
      </c>
      <c r="J130" s="54">
        <f t="shared" si="3"/>
        <v>38</v>
      </c>
      <c r="K130" t="str">
        <f t="shared" ref="K130:K193" si="4">IF(I130=1000000,"","Sabit")</f>
        <v/>
      </c>
    </row>
    <row r="131" spans="1:11" x14ac:dyDescent="0.3">
      <c r="A131" s="9" t="s">
        <v>377</v>
      </c>
      <c r="B131" s="47" t="s">
        <v>379</v>
      </c>
      <c r="C131" s="8" t="s">
        <v>633</v>
      </c>
      <c r="D131" s="8"/>
      <c r="E131" s="8"/>
      <c r="F131" s="8"/>
      <c r="G131" s="8"/>
      <c r="H131" s="10">
        <v>5.8</v>
      </c>
      <c r="I131" s="54">
        <f>VLOOKUP(A131,İstasyonlar!$A$2:$D$776,4,0)</f>
        <v>1000000</v>
      </c>
      <c r="J131" s="54">
        <f t="shared" ref="J131:J194" si="5">IF(A131=A130, J130, J130+1)</f>
        <v>38</v>
      </c>
      <c r="K131" t="str">
        <f t="shared" si="4"/>
        <v/>
      </c>
    </row>
    <row r="132" spans="1:11" x14ac:dyDescent="0.3">
      <c r="A132" s="9" t="s">
        <v>32</v>
      </c>
      <c r="B132" s="47" t="s">
        <v>163</v>
      </c>
      <c r="C132" s="8" t="s">
        <v>632</v>
      </c>
      <c r="D132" s="8" t="s">
        <v>631</v>
      </c>
      <c r="E132" s="8"/>
      <c r="F132" s="8"/>
      <c r="G132" s="8"/>
      <c r="H132" s="10">
        <v>0.5</v>
      </c>
      <c r="I132" s="54">
        <f>VLOOKUP(A132,İstasyonlar!$A$2:$D$776,4,0)</f>
        <v>1000000</v>
      </c>
      <c r="J132" s="54">
        <f t="shared" si="5"/>
        <v>39</v>
      </c>
      <c r="K132" t="str">
        <f t="shared" si="4"/>
        <v/>
      </c>
    </row>
    <row r="133" spans="1:11" x14ac:dyDescent="0.3">
      <c r="A133" s="9" t="s">
        <v>32</v>
      </c>
      <c r="B133" s="47" t="s">
        <v>164</v>
      </c>
      <c r="C133" s="8" t="s">
        <v>632</v>
      </c>
      <c r="D133" s="8" t="s">
        <v>631</v>
      </c>
      <c r="E133" s="8"/>
      <c r="F133" s="8"/>
      <c r="G133" s="8"/>
      <c r="H133" s="10">
        <v>5.8</v>
      </c>
      <c r="I133" s="54">
        <f>VLOOKUP(A133,İstasyonlar!$A$2:$D$776,4,0)</f>
        <v>1000000</v>
      </c>
      <c r="J133" s="54">
        <f t="shared" si="5"/>
        <v>39</v>
      </c>
      <c r="K133" t="str">
        <f t="shared" si="4"/>
        <v/>
      </c>
    </row>
    <row r="134" spans="1:11" x14ac:dyDescent="0.3">
      <c r="A134" s="9" t="s">
        <v>32</v>
      </c>
      <c r="B134" s="47" t="s">
        <v>165</v>
      </c>
      <c r="C134" s="8" t="s">
        <v>632</v>
      </c>
      <c r="D134" s="8" t="s">
        <v>631</v>
      </c>
      <c r="E134" s="8"/>
      <c r="F134" s="8"/>
      <c r="G134" s="8"/>
      <c r="H134" s="10">
        <v>5.0999999999999996</v>
      </c>
      <c r="I134" s="54">
        <f>VLOOKUP(A134,İstasyonlar!$A$2:$D$776,4,0)</f>
        <v>1000000</v>
      </c>
      <c r="J134" s="54">
        <f t="shared" si="5"/>
        <v>39</v>
      </c>
      <c r="K134" t="str">
        <f t="shared" si="4"/>
        <v/>
      </c>
    </row>
    <row r="135" spans="1:11" x14ac:dyDescent="0.3">
      <c r="A135" s="9" t="s">
        <v>32</v>
      </c>
      <c r="B135" s="47" t="s">
        <v>166</v>
      </c>
      <c r="C135" s="8" t="s">
        <v>632</v>
      </c>
      <c r="D135" s="8" t="s">
        <v>631</v>
      </c>
      <c r="E135" s="8"/>
      <c r="F135" s="8"/>
      <c r="G135" s="8"/>
      <c r="H135" s="10">
        <v>6.8</v>
      </c>
      <c r="I135" s="54">
        <f>VLOOKUP(A135,İstasyonlar!$A$2:$D$776,4,0)</f>
        <v>1000000</v>
      </c>
      <c r="J135" s="54">
        <f t="shared" si="5"/>
        <v>39</v>
      </c>
      <c r="K135" t="str">
        <f t="shared" si="4"/>
        <v/>
      </c>
    </row>
    <row r="136" spans="1:11" x14ac:dyDescent="0.3">
      <c r="A136" s="9" t="s">
        <v>32</v>
      </c>
      <c r="B136" s="47" t="s">
        <v>167</v>
      </c>
      <c r="C136" s="8" t="s">
        <v>632</v>
      </c>
      <c r="D136" s="8" t="s">
        <v>631</v>
      </c>
      <c r="E136" s="8"/>
      <c r="F136" s="8"/>
      <c r="G136" s="8"/>
      <c r="H136" s="10">
        <v>0.5</v>
      </c>
      <c r="I136" s="54">
        <f>VLOOKUP(A136,İstasyonlar!$A$2:$D$776,4,0)</f>
        <v>1000000</v>
      </c>
      <c r="J136" s="54">
        <f t="shared" si="5"/>
        <v>39</v>
      </c>
      <c r="K136" t="str">
        <f t="shared" si="4"/>
        <v/>
      </c>
    </row>
    <row r="137" spans="1:11" x14ac:dyDescent="0.3">
      <c r="A137" s="9" t="s">
        <v>33</v>
      </c>
      <c r="B137" s="47" t="s">
        <v>168</v>
      </c>
      <c r="C137" s="8" t="s">
        <v>635</v>
      </c>
      <c r="D137" s="8"/>
      <c r="E137" s="8"/>
      <c r="F137" s="8"/>
      <c r="G137" s="8"/>
      <c r="H137" s="10">
        <v>3.1</v>
      </c>
      <c r="I137" s="54">
        <f>VLOOKUP(A137,İstasyonlar!$A$2:$D$776,4,0)</f>
        <v>1000000</v>
      </c>
      <c r="J137" s="54">
        <f t="shared" si="5"/>
        <v>40</v>
      </c>
      <c r="K137" t="str">
        <f t="shared" si="4"/>
        <v/>
      </c>
    </row>
    <row r="138" spans="1:11" x14ac:dyDescent="0.3">
      <c r="A138" s="9" t="s">
        <v>33</v>
      </c>
      <c r="B138" s="47" t="s">
        <v>169</v>
      </c>
      <c r="C138" s="8" t="s">
        <v>635</v>
      </c>
      <c r="D138" s="8"/>
      <c r="E138" s="8"/>
      <c r="F138" s="8"/>
      <c r="G138" s="8"/>
      <c r="H138" s="10">
        <v>4.9000000000000004</v>
      </c>
      <c r="I138" s="54">
        <f>VLOOKUP(A138,İstasyonlar!$A$2:$D$776,4,0)</f>
        <v>1000000</v>
      </c>
      <c r="J138" s="54">
        <f t="shared" si="5"/>
        <v>40</v>
      </c>
      <c r="K138" t="str">
        <f t="shared" si="4"/>
        <v/>
      </c>
    </row>
    <row r="139" spans="1:11" x14ac:dyDescent="0.3">
      <c r="A139" s="9" t="s">
        <v>33</v>
      </c>
      <c r="B139" s="47" t="s">
        <v>381</v>
      </c>
      <c r="C139" s="8" t="s">
        <v>635</v>
      </c>
      <c r="D139" s="8"/>
      <c r="E139" s="8"/>
      <c r="F139" s="8"/>
      <c r="G139" s="8"/>
      <c r="H139" s="10">
        <v>5.6</v>
      </c>
      <c r="I139" s="54">
        <f>VLOOKUP(A139,İstasyonlar!$A$2:$D$776,4,0)</f>
        <v>1000000</v>
      </c>
      <c r="J139" s="54">
        <f t="shared" si="5"/>
        <v>40</v>
      </c>
      <c r="K139" t="str">
        <f t="shared" si="4"/>
        <v/>
      </c>
    </row>
    <row r="140" spans="1:11" x14ac:dyDescent="0.3">
      <c r="A140" s="9" t="s">
        <v>284</v>
      </c>
      <c r="B140" s="47" t="s">
        <v>294</v>
      </c>
      <c r="C140" s="8" t="s">
        <v>636</v>
      </c>
      <c r="D140" s="8"/>
      <c r="E140" s="8"/>
      <c r="F140" s="8"/>
      <c r="G140" s="8"/>
      <c r="H140" s="10">
        <v>4.0999999999999996</v>
      </c>
      <c r="I140" s="54">
        <f>VLOOKUP(A140,İstasyonlar!$A$2:$D$776,4,0)</f>
        <v>1000000</v>
      </c>
      <c r="J140" s="54">
        <f t="shared" si="5"/>
        <v>41</v>
      </c>
      <c r="K140" t="str">
        <f t="shared" si="4"/>
        <v/>
      </c>
    </row>
    <row r="141" spans="1:11" x14ac:dyDescent="0.3">
      <c r="A141" s="9" t="s">
        <v>284</v>
      </c>
      <c r="B141" s="47" t="s">
        <v>295</v>
      </c>
      <c r="C141" s="8" t="s">
        <v>636</v>
      </c>
      <c r="D141" s="8"/>
      <c r="E141" s="8"/>
      <c r="F141" s="8"/>
      <c r="G141" s="8"/>
      <c r="H141" s="10">
        <v>3.8</v>
      </c>
      <c r="I141" s="54">
        <f>VLOOKUP(A141,İstasyonlar!$A$2:$D$776,4,0)</f>
        <v>1000000</v>
      </c>
      <c r="J141" s="54">
        <f t="shared" si="5"/>
        <v>41</v>
      </c>
      <c r="K141" t="str">
        <f t="shared" si="4"/>
        <v/>
      </c>
    </row>
    <row r="142" spans="1:11" x14ac:dyDescent="0.3">
      <c r="A142" s="9" t="s">
        <v>284</v>
      </c>
      <c r="B142" s="47" t="s">
        <v>296</v>
      </c>
      <c r="C142" s="8" t="s">
        <v>636</v>
      </c>
      <c r="D142" s="8"/>
      <c r="E142" s="8"/>
      <c r="F142" s="8"/>
      <c r="G142" s="8"/>
      <c r="H142" s="10">
        <v>3.1</v>
      </c>
      <c r="I142" s="54">
        <f>VLOOKUP(A142,İstasyonlar!$A$2:$D$776,4,0)</f>
        <v>1000000</v>
      </c>
      <c r="J142" s="54">
        <f t="shared" si="5"/>
        <v>41</v>
      </c>
      <c r="K142" t="str">
        <f t="shared" si="4"/>
        <v/>
      </c>
    </row>
    <row r="143" spans="1:11" x14ac:dyDescent="0.3">
      <c r="A143" s="9" t="s">
        <v>34</v>
      </c>
      <c r="B143" s="47" t="s">
        <v>171</v>
      </c>
      <c r="C143" s="8" t="s">
        <v>637</v>
      </c>
      <c r="D143" s="8" t="s">
        <v>632</v>
      </c>
      <c r="E143" s="8"/>
      <c r="F143" s="8"/>
      <c r="G143" s="8"/>
      <c r="H143" s="10">
        <v>0.5</v>
      </c>
      <c r="I143" s="54">
        <f>VLOOKUP(A143,İstasyonlar!$A$2:$D$776,4,0)</f>
        <v>1000000</v>
      </c>
      <c r="J143" s="54">
        <f t="shared" si="5"/>
        <v>42</v>
      </c>
      <c r="K143" t="str">
        <f t="shared" si="4"/>
        <v/>
      </c>
    </row>
    <row r="144" spans="1:11" x14ac:dyDescent="0.3">
      <c r="A144" s="9" t="s">
        <v>34</v>
      </c>
      <c r="B144" s="47" t="s">
        <v>172</v>
      </c>
      <c r="C144" s="8" t="s">
        <v>637</v>
      </c>
      <c r="D144" s="8" t="s">
        <v>632</v>
      </c>
      <c r="E144" s="8"/>
      <c r="F144" s="8"/>
      <c r="G144" s="8"/>
      <c r="H144" s="10">
        <v>6.9</v>
      </c>
      <c r="I144" s="54">
        <f>VLOOKUP(A144,İstasyonlar!$A$2:$D$776,4,0)</f>
        <v>1000000</v>
      </c>
      <c r="J144" s="54">
        <f t="shared" si="5"/>
        <v>42</v>
      </c>
      <c r="K144" t="str">
        <f t="shared" si="4"/>
        <v/>
      </c>
    </row>
    <row r="145" spans="1:11" x14ac:dyDescent="0.3">
      <c r="A145" s="9" t="s">
        <v>34</v>
      </c>
      <c r="B145" s="47" t="s">
        <v>173</v>
      </c>
      <c r="C145" s="8" t="s">
        <v>637</v>
      </c>
      <c r="D145" s="8" t="s">
        <v>632</v>
      </c>
      <c r="E145" s="8"/>
      <c r="F145" s="8"/>
      <c r="G145" s="8"/>
      <c r="H145" s="10">
        <v>5.4</v>
      </c>
      <c r="I145" s="54">
        <f>VLOOKUP(A145,İstasyonlar!$A$2:$D$776,4,0)</f>
        <v>1000000</v>
      </c>
      <c r="J145" s="54">
        <f t="shared" si="5"/>
        <v>42</v>
      </c>
      <c r="K145" t="str">
        <f t="shared" si="4"/>
        <v/>
      </c>
    </row>
    <row r="146" spans="1:11" x14ac:dyDescent="0.3">
      <c r="A146" s="9" t="s">
        <v>34</v>
      </c>
      <c r="B146" s="47" t="s">
        <v>174</v>
      </c>
      <c r="C146" s="8" t="s">
        <v>637</v>
      </c>
      <c r="D146" s="8" t="s">
        <v>632</v>
      </c>
      <c r="E146" s="8"/>
      <c r="F146" s="8"/>
      <c r="G146" s="8"/>
      <c r="H146" s="10">
        <v>6.1</v>
      </c>
      <c r="I146" s="54">
        <f>VLOOKUP(A146,İstasyonlar!$A$2:$D$776,4,0)</f>
        <v>1000000</v>
      </c>
      <c r="J146" s="54">
        <f t="shared" si="5"/>
        <v>42</v>
      </c>
      <c r="K146" t="str">
        <f t="shared" si="4"/>
        <v/>
      </c>
    </row>
    <row r="147" spans="1:11" x14ac:dyDescent="0.3">
      <c r="A147" s="9" t="s">
        <v>34</v>
      </c>
      <c r="B147" s="47" t="s">
        <v>175</v>
      </c>
      <c r="C147" s="8" t="s">
        <v>637</v>
      </c>
      <c r="D147" s="8" t="s">
        <v>632</v>
      </c>
      <c r="E147" s="8"/>
      <c r="F147" s="8"/>
      <c r="G147" s="8"/>
      <c r="H147" s="10">
        <v>0.5</v>
      </c>
      <c r="I147" s="54">
        <f>VLOOKUP(A147,İstasyonlar!$A$2:$D$776,4,0)</f>
        <v>1000000</v>
      </c>
      <c r="J147" s="54">
        <f t="shared" si="5"/>
        <v>42</v>
      </c>
      <c r="K147" t="str">
        <f t="shared" si="4"/>
        <v/>
      </c>
    </row>
    <row r="148" spans="1:11" x14ac:dyDescent="0.3">
      <c r="A148" s="11" t="s">
        <v>382</v>
      </c>
      <c r="B148" s="47" t="s">
        <v>471</v>
      </c>
      <c r="C148" s="8" t="s">
        <v>639</v>
      </c>
      <c r="D148" s="8" t="s">
        <v>640</v>
      </c>
      <c r="E148" s="8"/>
      <c r="F148" s="8"/>
      <c r="G148" s="8"/>
      <c r="H148" s="10">
        <v>11.3</v>
      </c>
      <c r="I148" s="54">
        <f>VLOOKUP(A148,İstasyonlar!$A$2:$D$776,4,0)</f>
        <v>999999999</v>
      </c>
      <c r="J148" s="54">
        <f t="shared" si="5"/>
        <v>43</v>
      </c>
      <c r="K148" t="str">
        <f t="shared" si="4"/>
        <v>Sabit</v>
      </c>
    </row>
    <row r="149" spans="1:11" x14ac:dyDescent="0.3">
      <c r="A149" s="11" t="s">
        <v>382</v>
      </c>
      <c r="B149" s="47" t="s">
        <v>472</v>
      </c>
      <c r="C149" s="8" t="s">
        <v>639</v>
      </c>
      <c r="D149" s="8" t="s">
        <v>640</v>
      </c>
      <c r="E149" s="8"/>
      <c r="F149" s="8"/>
      <c r="G149" s="8"/>
      <c r="H149" s="10">
        <v>4.9000000000000004</v>
      </c>
      <c r="I149" s="54">
        <f>VLOOKUP(A149,İstasyonlar!$A$2:$D$776,4,0)</f>
        <v>999999999</v>
      </c>
      <c r="J149" s="54">
        <f t="shared" si="5"/>
        <v>43</v>
      </c>
      <c r="K149" t="str">
        <f t="shared" si="4"/>
        <v>Sabit</v>
      </c>
    </row>
    <row r="150" spans="1:11" x14ac:dyDescent="0.3">
      <c r="A150" s="11" t="s">
        <v>382</v>
      </c>
      <c r="B150" s="47" t="s">
        <v>473</v>
      </c>
      <c r="C150" s="8" t="s">
        <v>639</v>
      </c>
      <c r="D150" s="8" t="s">
        <v>640</v>
      </c>
      <c r="E150" s="8"/>
      <c r="F150" s="8"/>
      <c r="G150" s="8"/>
      <c r="H150" s="10">
        <v>2.1</v>
      </c>
      <c r="I150" s="54">
        <f>VLOOKUP(A150,İstasyonlar!$A$2:$D$776,4,0)</f>
        <v>999999999</v>
      </c>
      <c r="J150" s="54">
        <f t="shared" si="5"/>
        <v>43</v>
      </c>
      <c r="K150" t="str">
        <f t="shared" si="4"/>
        <v>Sabit</v>
      </c>
    </row>
    <row r="151" spans="1:11" x14ac:dyDescent="0.3">
      <c r="A151" s="11" t="s">
        <v>382</v>
      </c>
      <c r="B151" s="47" t="s">
        <v>474</v>
      </c>
      <c r="C151" s="8" t="s">
        <v>639</v>
      </c>
      <c r="D151" s="8" t="s">
        <v>640</v>
      </c>
      <c r="E151" s="8"/>
      <c r="F151" s="8"/>
      <c r="G151" s="8"/>
      <c r="H151" s="10">
        <v>1</v>
      </c>
      <c r="I151" s="54">
        <f>VLOOKUP(A151,İstasyonlar!$A$2:$D$776,4,0)</f>
        <v>999999999</v>
      </c>
      <c r="J151" s="54">
        <f t="shared" si="5"/>
        <v>43</v>
      </c>
      <c r="K151" t="str">
        <f t="shared" si="4"/>
        <v>Sabit</v>
      </c>
    </row>
    <row r="152" spans="1:11" x14ac:dyDescent="0.3">
      <c r="A152" s="9" t="s">
        <v>35</v>
      </c>
      <c r="B152" s="47" t="s">
        <v>176</v>
      </c>
      <c r="C152" s="8" t="s">
        <v>640</v>
      </c>
      <c r="D152" s="8" t="s">
        <v>639</v>
      </c>
      <c r="E152" s="8" t="s">
        <v>644</v>
      </c>
      <c r="F152" s="8"/>
      <c r="G152" s="8"/>
      <c r="H152" s="10">
        <v>0.5</v>
      </c>
      <c r="I152" s="54">
        <f>VLOOKUP(A152,İstasyonlar!$A$2:$D$776,4,0)</f>
        <v>999999999</v>
      </c>
      <c r="J152" s="54">
        <f t="shared" si="5"/>
        <v>44</v>
      </c>
      <c r="K152" t="str">
        <f t="shared" si="4"/>
        <v>Sabit</v>
      </c>
    </row>
    <row r="153" spans="1:11" x14ac:dyDescent="0.3">
      <c r="A153" s="9" t="s">
        <v>35</v>
      </c>
      <c r="B153" s="47" t="s">
        <v>177</v>
      </c>
      <c r="C153" s="8" t="s">
        <v>640</v>
      </c>
      <c r="D153" s="8" t="s">
        <v>639</v>
      </c>
      <c r="E153" s="8" t="s">
        <v>644</v>
      </c>
      <c r="F153" s="8"/>
      <c r="G153" s="8"/>
      <c r="H153" s="10">
        <v>4.2</v>
      </c>
      <c r="I153" s="54">
        <f>VLOOKUP(A153,İstasyonlar!$A$2:$D$776,4,0)</f>
        <v>999999999</v>
      </c>
      <c r="J153" s="54">
        <f t="shared" si="5"/>
        <v>44</v>
      </c>
      <c r="K153" t="str">
        <f t="shared" si="4"/>
        <v>Sabit</v>
      </c>
    </row>
    <row r="154" spans="1:11" x14ac:dyDescent="0.3">
      <c r="A154" s="9" t="s">
        <v>35</v>
      </c>
      <c r="B154" s="47" t="s">
        <v>178</v>
      </c>
      <c r="C154" s="8" t="s">
        <v>640</v>
      </c>
      <c r="D154" s="8" t="s">
        <v>639</v>
      </c>
      <c r="E154" s="8" t="s">
        <v>644</v>
      </c>
      <c r="F154" s="8"/>
      <c r="G154" s="8"/>
      <c r="H154" s="10">
        <v>6.3</v>
      </c>
      <c r="I154" s="54">
        <f>VLOOKUP(A154,İstasyonlar!$A$2:$D$776,4,0)</f>
        <v>999999999</v>
      </c>
      <c r="J154" s="54">
        <f t="shared" si="5"/>
        <v>44</v>
      </c>
      <c r="K154" t="str">
        <f t="shared" si="4"/>
        <v>Sabit</v>
      </c>
    </row>
    <row r="155" spans="1:11" x14ac:dyDescent="0.3">
      <c r="A155" s="9" t="s">
        <v>35</v>
      </c>
      <c r="B155" s="47" t="s">
        <v>179</v>
      </c>
      <c r="C155" s="8" t="s">
        <v>640</v>
      </c>
      <c r="D155" s="8" t="s">
        <v>639</v>
      </c>
      <c r="E155" s="8" t="s">
        <v>644</v>
      </c>
      <c r="F155" s="8"/>
      <c r="G155" s="8"/>
      <c r="H155" s="10">
        <v>6.4</v>
      </c>
      <c r="I155" s="54">
        <f>VLOOKUP(A155,İstasyonlar!$A$2:$D$776,4,0)</f>
        <v>999999999</v>
      </c>
      <c r="J155" s="54">
        <f t="shared" si="5"/>
        <v>44</v>
      </c>
      <c r="K155" t="str">
        <f t="shared" si="4"/>
        <v>Sabit</v>
      </c>
    </row>
    <row r="156" spans="1:11" x14ac:dyDescent="0.3">
      <c r="A156" s="9" t="s">
        <v>35</v>
      </c>
      <c r="B156" s="47" t="s">
        <v>180</v>
      </c>
      <c r="C156" s="8" t="s">
        <v>640</v>
      </c>
      <c r="D156" s="8" t="s">
        <v>639</v>
      </c>
      <c r="E156" s="8" t="s">
        <v>644</v>
      </c>
      <c r="F156" s="8"/>
      <c r="G156" s="8"/>
      <c r="H156" s="10">
        <v>0.5</v>
      </c>
      <c r="I156" s="54">
        <f>VLOOKUP(A156,İstasyonlar!$A$2:$D$776,4,0)</f>
        <v>999999999</v>
      </c>
      <c r="J156" s="54">
        <f t="shared" si="5"/>
        <v>44</v>
      </c>
      <c r="K156" t="str">
        <f t="shared" si="4"/>
        <v>Sabit</v>
      </c>
    </row>
    <row r="157" spans="1:11" x14ac:dyDescent="0.3">
      <c r="A157" s="11" t="s">
        <v>738</v>
      </c>
      <c r="B157" s="47" t="s">
        <v>739</v>
      </c>
      <c r="C157" s="8" t="s">
        <v>646</v>
      </c>
      <c r="D157" s="8" t="s">
        <v>647</v>
      </c>
      <c r="E157" s="8"/>
      <c r="F157" s="8"/>
      <c r="G157" s="8"/>
      <c r="H157" s="10">
        <v>5.0999999999999996</v>
      </c>
      <c r="I157" s="54">
        <f>VLOOKUP(A157,İstasyonlar!$A$2:$D$776,4,0)</f>
        <v>999999999</v>
      </c>
      <c r="J157" s="54">
        <f t="shared" si="5"/>
        <v>45</v>
      </c>
      <c r="K157" t="str">
        <f t="shared" si="4"/>
        <v>Sabit</v>
      </c>
    </row>
    <row r="158" spans="1:11" x14ac:dyDescent="0.3">
      <c r="A158" s="11" t="s">
        <v>738</v>
      </c>
      <c r="B158" s="47" t="s">
        <v>740</v>
      </c>
      <c r="C158" s="8" t="s">
        <v>646</v>
      </c>
      <c r="D158" s="8" t="s">
        <v>647</v>
      </c>
      <c r="E158" s="8"/>
      <c r="F158" s="8"/>
      <c r="G158" s="8"/>
      <c r="H158" s="10">
        <v>3.5</v>
      </c>
      <c r="I158" s="54">
        <f>VLOOKUP(A158,İstasyonlar!$A$2:$D$776,4,0)</f>
        <v>999999999</v>
      </c>
      <c r="J158" s="54">
        <f t="shared" si="5"/>
        <v>45</v>
      </c>
      <c r="K158" t="str">
        <f t="shared" si="4"/>
        <v>Sabit</v>
      </c>
    </row>
    <row r="159" spans="1:11" x14ac:dyDescent="0.3">
      <c r="A159" s="11" t="s">
        <v>738</v>
      </c>
      <c r="B159" s="47" t="s">
        <v>741</v>
      </c>
      <c r="C159" s="8" t="s">
        <v>646</v>
      </c>
      <c r="D159" s="8" t="s">
        <v>647</v>
      </c>
      <c r="E159" s="8"/>
      <c r="F159" s="8"/>
      <c r="G159" s="8"/>
      <c r="H159" s="10">
        <v>2.8</v>
      </c>
      <c r="I159" s="54">
        <f>VLOOKUP(A159,İstasyonlar!$A$2:$D$776,4,0)</f>
        <v>999999999</v>
      </c>
      <c r="J159" s="54">
        <f t="shared" si="5"/>
        <v>45</v>
      </c>
      <c r="K159" t="str">
        <f t="shared" si="4"/>
        <v>Sabit</v>
      </c>
    </row>
    <row r="160" spans="1:11" x14ac:dyDescent="0.3">
      <c r="A160" s="11" t="s">
        <v>738</v>
      </c>
      <c r="B160" s="47" t="s">
        <v>742</v>
      </c>
      <c r="C160" s="8" t="s">
        <v>646</v>
      </c>
      <c r="D160" s="8" t="s">
        <v>647</v>
      </c>
      <c r="E160" s="8"/>
      <c r="F160" s="8"/>
      <c r="G160" s="8"/>
      <c r="H160" s="10">
        <v>1</v>
      </c>
      <c r="I160" s="54">
        <f>VLOOKUP(A160,İstasyonlar!$A$2:$D$776,4,0)</f>
        <v>999999999</v>
      </c>
      <c r="J160" s="54">
        <f t="shared" si="5"/>
        <v>45</v>
      </c>
      <c r="K160" t="str">
        <f t="shared" si="4"/>
        <v>Sabit</v>
      </c>
    </row>
    <row r="161" spans="1:11" x14ac:dyDescent="0.3">
      <c r="A161" s="9" t="s">
        <v>37</v>
      </c>
      <c r="B161" s="47" t="s">
        <v>181</v>
      </c>
      <c r="C161" s="8" t="s">
        <v>644</v>
      </c>
      <c r="D161" s="8" t="s">
        <v>635</v>
      </c>
      <c r="E161" s="8" t="s">
        <v>646</v>
      </c>
      <c r="F161" s="8"/>
      <c r="G161" s="8"/>
      <c r="H161" s="10">
        <v>0.5</v>
      </c>
      <c r="I161" s="54">
        <f>VLOOKUP(A161,İstasyonlar!$A$2:$D$776,4,0)</f>
        <v>1000000</v>
      </c>
      <c r="J161" s="54">
        <f t="shared" si="5"/>
        <v>46</v>
      </c>
      <c r="K161" t="str">
        <f t="shared" si="4"/>
        <v/>
      </c>
    </row>
    <row r="162" spans="1:11" x14ac:dyDescent="0.3">
      <c r="A162" s="9" t="s">
        <v>37</v>
      </c>
      <c r="B162" s="47" t="s">
        <v>182</v>
      </c>
      <c r="C162" s="8" t="s">
        <v>644</v>
      </c>
      <c r="D162" s="8" t="s">
        <v>635</v>
      </c>
      <c r="E162" s="8" t="s">
        <v>646</v>
      </c>
      <c r="F162" s="8"/>
      <c r="G162" s="8"/>
      <c r="H162" s="10">
        <v>2.8</v>
      </c>
      <c r="I162" s="54">
        <f>VLOOKUP(A162,İstasyonlar!$A$2:$D$776,4,0)</f>
        <v>1000000</v>
      </c>
      <c r="J162" s="54">
        <f t="shared" si="5"/>
        <v>46</v>
      </c>
      <c r="K162" t="str">
        <f t="shared" si="4"/>
        <v/>
      </c>
    </row>
    <row r="163" spans="1:11" x14ac:dyDescent="0.3">
      <c r="A163" s="9" t="s">
        <v>37</v>
      </c>
      <c r="B163" s="47" t="s">
        <v>183</v>
      </c>
      <c r="C163" s="8" t="s">
        <v>644</v>
      </c>
      <c r="D163" s="8" t="s">
        <v>635</v>
      </c>
      <c r="E163" s="8" t="s">
        <v>646</v>
      </c>
      <c r="F163" s="8"/>
      <c r="G163" s="8"/>
      <c r="H163" s="10">
        <v>5.5</v>
      </c>
      <c r="I163" s="54">
        <f>VLOOKUP(A163,İstasyonlar!$A$2:$D$776,4,0)</f>
        <v>1000000</v>
      </c>
      <c r="J163" s="54">
        <f t="shared" si="5"/>
        <v>46</v>
      </c>
      <c r="K163" t="str">
        <f t="shared" si="4"/>
        <v/>
      </c>
    </row>
    <row r="164" spans="1:11" x14ac:dyDescent="0.3">
      <c r="A164" s="9" t="s">
        <v>37</v>
      </c>
      <c r="B164" s="47" t="s">
        <v>184</v>
      </c>
      <c r="C164" s="8" t="s">
        <v>644</v>
      </c>
      <c r="D164" s="8" t="s">
        <v>635</v>
      </c>
      <c r="E164" s="8" t="s">
        <v>646</v>
      </c>
      <c r="F164" s="8"/>
      <c r="G164" s="8"/>
      <c r="H164" s="10">
        <v>3.8</v>
      </c>
      <c r="I164" s="54">
        <f>VLOOKUP(A164,İstasyonlar!$A$2:$D$776,4,0)</f>
        <v>1000000</v>
      </c>
      <c r="J164" s="54">
        <f t="shared" si="5"/>
        <v>46</v>
      </c>
      <c r="K164" t="str">
        <f t="shared" si="4"/>
        <v/>
      </c>
    </row>
    <row r="165" spans="1:11" x14ac:dyDescent="0.3">
      <c r="A165" s="9" t="s">
        <v>37</v>
      </c>
      <c r="B165" s="47" t="s">
        <v>186</v>
      </c>
      <c r="C165" s="8" t="s">
        <v>644</v>
      </c>
      <c r="D165" s="8" t="s">
        <v>635</v>
      </c>
      <c r="E165" s="8" t="s">
        <v>646</v>
      </c>
      <c r="F165" s="8"/>
      <c r="G165" s="8"/>
      <c r="H165" s="10">
        <v>2.8</v>
      </c>
      <c r="I165" s="54">
        <f>VLOOKUP(A165,İstasyonlar!$A$2:$D$776,4,0)</f>
        <v>1000000</v>
      </c>
      <c r="J165" s="54">
        <f t="shared" si="5"/>
        <v>46</v>
      </c>
      <c r="K165" t="str">
        <f t="shared" si="4"/>
        <v/>
      </c>
    </row>
    <row r="166" spans="1:11" x14ac:dyDescent="0.3">
      <c r="A166" s="9" t="s">
        <v>37</v>
      </c>
      <c r="B166" s="47" t="s">
        <v>185</v>
      </c>
      <c r="C166" s="8" t="s">
        <v>644</v>
      </c>
      <c r="D166" s="8" t="s">
        <v>635</v>
      </c>
      <c r="E166" s="8" t="s">
        <v>646</v>
      </c>
      <c r="F166" s="8"/>
      <c r="G166" s="8"/>
      <c r="H166" s="10">
        <v>0.5</v>
      </c>
      <c r="I166" s="54">
        <f>VLOOKUP(A166,İstasyonlar!$A$2:$D$776,4,0)</f>
        <v>1000000</v>
      </c>
      <c r="J166" s="54">
        <f t="shared" si="5"/>
        <v>46</v>
      </c>
      <c r="K166" t="str">
        <f t="shared" si="4"/>
        <v/>
      </c>
    </row>
    <row r="167" spans="1:11" x14ac:dyDescent="0.3">
      <c r="A167" s="9" t="s">
        <v>58</v>
      </c>
      <c r="B167" s="47" t="s">
        <v>187</v>
      </c>
      <c r="C167" s="8" t="s">
        <v>647</v>
      </c>
      <c r="D167" s="8" t="s">
        <v>646</v>
      </c>
      <c r="E167" s="8"/>
      <c r="F167" s="8"/>
      <c r="G167" s="8"/>
      <c r="H167" s="10">
        <v>5.3</v>
      </c>
      <c r="I167" s="54">
        <f>VLOOKUP(A167,İstasyonlar!$A$2:$D$776,4,0)</f>
        <v>999999999</v>
      </c>
      <c r="J167" s="54">
        <f t="shared" si="5"/>
        <v>47</v>
      </c>
      <c r="K167" t="str">
        <f t="shared" si="4"/>
        <v>Sabit</v>
      </c>
    </row>
    <row r="168" spans="1:11" x14ac:dyDescent="0.3">
      <c r="A168" s="9" t="s">
        <v>58</v>
      </c>
      <c r="B168" s="47" t="s">
        <v>188</v>
      </c>
      <c r="C168" s="8" t="s">
        <v>647</v>
      </c>
      <c r="D168" s="8" t="s">
        <v>646</v>
      </c>
      <c r="E168" s="8"/>
      <c r="F168" s="8"/>
      <c r="G168" s="8"/>
      <c r="H168" s="10">
        <v>2.6</v>
      </c>
      <c r="I168" s="54">
        <f>VLOOKUP(A168,İstasyonlar!$A$2:$D$776,4,0)</f>
        <v>999999999</v>
      </c>
      <c r="J168" s="54">
        <f t="shared" si="5"/>
        <v>47</v>
      </c>
      <c r="K168" t="str">
        <f t="shared" si="4"/>
        <v>Sabit</v>
      </c>
    </row>
    <row r="169" spans="1:11" x14ac:dyDescent="0.3">
      <c r="A169" s="9" t="s">
        <v>58</v>
      </c>
      <c r="B169" s="47" t="s">
        <v>189</v>
      </c>
      <c r="C169" s="8" t="s">
        <v>647</v>
      </c>
      <c r="D169" s="8" t="s">
        <v>646</v>
      </c>
      <c r="E169" s="8"/>
      <c r="F169" s="8"/>
      <c r="G169" s="8"/>
      <c r="H169" s="10">
        <v>0.5</v>
      </c>
      <c r="I169" s="54">
        <f>VLOOKUP(A169,İstasyonlar!$A$2:$D$776,4,0)</f>
        <v>999999999</v>
      </c>
      <c r="J169" s="54">
        <f t="shared" si="5"/>
        <v>47</v>
      </c>
      <c r="K169" t="str">
        <f t="shared" si="4"/>
        <v>Sabit</v>
      </c>
    </row>
    <row r="170" spans="1:11" x14ac:dyDescent="0.3">
      <c r="A170" s="9" t="s">
        <v>36</v>
      </c>
      <c r="B170" s="47" t="s">
        <v>190</v>
      </c>
      <c r="C170" s="8" t="s">
        <v>651</v>
      </c>
      <c r="D170" s="8"/>
      <c r="E170" s="8"/>
      <c r="F170" s="8" t="s">
        <v>644</v>
      </c>
      <c r="G170" s="8"/>
      <c r="H170" s="10">
        <v>4.0999999999999996</v>
      </c>
      <c r="I170" s="54">
        <f>VLOOKUP(A170,İstasyonlar!$A$2:$D$776,4,0)</f>
        <v>1000000</v>
      </c>
      <c r="J170" s="54">
        <f t="shared" si="5"/>
        <v>48</v>
      </c>
      <c r="K170" t="str">
        <f t="shared" si="4"/>
        <v/>
      </c>
    </row>
    <row r="171" spans="1:11" x14ac:dyDescent="0.3">
      <c r="A171" s="9" t="s">
        <v>36</v>
      </c>
      <c r="B171" s="47" t="s">
        <v>191</v>
      </c>
      <c r="C171" s="8" t="s">
        <v>651</v>
      </c>
      <c r="D171" s="8"/>
      <c r="E171" s="8"/>
      <c r="F171" s="8" t="s">
        <v>644</v>
      </c>
      <c r="G171" s="8"/>
      <c r="H171" s="10">
        <v>4.0999999999999996</v>
      </c>
      <c r="I171" s="54">
        <f>VLOOKUP(A171,İstasyonlar!$A$2:$D$776,4,0)</f>
        <v>1000000</v>
      </c>
      <c r="J171" s="54">
        <f t="shared" si="5"/>
        <v>48</v>
      </c>
      <c r="K171" t="str">
        <f t="shared" si="4"/>
        <v/>
      </c>
    </row>
    <row r="172" spans="1:11" x14ac:dyDescent="0.3">
      <c r="A172" s="9" t="s">
        <v>36</v>
      </c>
      <c r="B172" s="47" t="s">
        <v>192</v>
      </c>
      <c r="C172" s="8" t="s">
        <v>651</v>
      </c>
      <c r="D172" s="8"/>
      <c r="E172" s="8"/>
      <c r="F172" s="8" t="s">
        <v>644</v>
      </c>
      <c r="G172" s="8"/>
      <c r="H172" s="10">
        <v>5.8</v>
      </c>
      <c r="I172" s="54">
        <f>VLOOKUP(A172,İstasyonlar!$A$2:$D$776,4,0)</f>
        <v>1000000</v>
      </c>
      <c r="J172" s="54">
        <f t="shared" si="5"/>
        <v>48</v>
      </c>
      <c r="K172" t="str">
        <f t="shared" si="4"/>
        <v/>
      </c>
    </row>
    <row r="173" spans="1:11" x14ac:dyDescent="0.3">
      <c r="A173" s="9" t="s">
        <v>36</v>
      </c>
      <c r="B173" s="47" t="s">
        <v>193</v>
      </c>
      <c r="C173" s="8" t="s">
        <v>651</v>
      </c>
      <c r="D173" s="8"/>
      <c r="E173" s="8"/>
      <c r="F173" s="8" t="s">
        <v>644</v>
      </c>
      <c r="G173" s="8"/>
      <c r="H173" s="10">
        <v>5.6</v>
      </c>
      <c r="I173" s="54">
        <f>VLOOKUP(A173,İstasyonlar!$A$2:$D$776,4,0)</f>
        <v>1000000</v>
      </c>
      <c r="J173" s="54">
        <f t="shared" si="5"/>
        <v>48</v>
      </c>
      <c r="K173" t="str">
        <f t="shared" si="4"/>
        <v/>
      </c>
    </row>
    <row r="174" spans="1:11" x14ac:dyDescent="0.3">
      <c r="A174" s="9" t="s">
        <v>30</v>
      </c>
      <c r="B174" s="47" t="s">
        <v>195</v>
      </c>
      <c r="C174" s="8" t="s">
        <v>652</v>
      </c>
      <c r="D174" s="8" t="s">
        <v>653</v>
      </c>
      <c r="E174" s="8"/>
      <c r="F174" s="8"/>
      <c r="G174" s="8"/>
      <c r="H174" s="10">
        <v>2.6</v>
      </c>
      <c r="I174" s="54">
        <f>VLOOKUP(A174,İstasyonlar!$A$2:$D$776,4,0)</f>
        <v>1000000</v>
      </c>
      <c r="J174" s="54">
        <f t="shared" si="5"/>
        <v>49</v>
      </c>
      <c r="K174" t="str">
        <f t="shared" si="4"/>
        <v/>
      </c>
    </row>
    <row r="175" spans="1:11" x14ac:dyDescent="0.3">
      <c r="A175" s="9" t="s">
        <v>30</v>
      </c>
      <c r="B175" s="47" t="s">
        <v>196</v>
      </c>
      <c r="C175" s="8" t="s">
        <v>652</v>
      </c>
      <c r="D175" s="8" t="s">
        <v>653</v>
      </c>
      <c r="E175" s="8"/>
      <c r="F175" s="8"/>
      <c r="G175" s="8"/>
      <c r="H175" s="10">
        <v>2.6</v>
      </c>
      <c r="I175" s="54">
        <f>VLOOKUP(A175,İstasyonlar!$A$2:$D$776,4,0)</f>
        <v>1000000</v>
      </c>
      <c r="J175" s="54">
        <f t="shared" si="5"/>
        <v>49</v>
      </c>
      <c r="K175" t="str">
        <f t="shared" si="4"/>
        <v/>
      </c>
    </row>
    <row r="176" spans="1:11" x14ac:dyDescent="0.3">
      <c r="A176" s="9" t="s">
        <v>30</v>
      </c>
      <c r="B176" s="47" t="s">
        <v>194</v>
      </c>
      <c r="C176" s="8" t="s">
        <v>652</v>
      </c>
      <c r="D176" s="8" t="s">
        <v>653</v>
      </c>
      <c r="E176" s="8"/>
      <c r="F176" s="8"/>
      <c r="G176" s="8"/>
      <c r="H176" s="10">
        <v>4.2</v>
      </c>
      <c r="I176" s="54">
        <f>VLOOKUP(A176,İstasyonlar!$A$2:$D$776,4,0)</f>
        <v>1000000</v>
      </c>
      <c r="J176" s="54">
        <f t="shared" si="5"/>
        <v>49</v>
      </c>
      <c r="K176" t="str">
        <f t="shared" si="4"/>
        <v/>
      </c>
    </row>
    <row r="177" spans="1:11" x14ac:dyDescent="0.3">
      <c r="A177" s="9" t="s">
        <v>30</v>
      </c>
      <c r="B177" s="47" t="s">
        <v>197</v>
      </c>
      <c r="C177" s="8" t="s">
        <v>652</v>
      </c>
      <c r="D177" s="8" t="s">
        <v>653</v>
      </c>
      <c r="E177" s="8"/>
      <c r="F177" s="8"/>
      <c r="G177" s="8"/>
      <c r="H177" s="10">
        <v>2.8</v>
      </c>
      <c r="I177" s="54">
        <f>VLOOKUP(A177,İstasyonlar!$A$2:$D$776,4,0)</f>
        <v>1000000</v>
      </c>
      <c r="J177" s="54">
        <f t="shared" si="5"/>
        <v>49</v>
      </c>
      <c r="K177" t="str">
        <f t="shared" si="4"/>
        <v/>
      </c>
    </row>
    <row r="178" spans="1:11" x14ac:dyDescent="0.3">
      <c r="A178" s="9" t="s">
        <v>38</v>
      </c>
      <c r="B178" s="47" t="s">
        <v>198</v>
      </c>
      <c r="C178" s="8" t="s">
        <v>653</v>
      </c>
      <c r="D178" s="8" t="s">
        <v>652</v>
      </c>
      <c r="E178" s="8"/>
      <c r="F178" s="8"/>
      <c r="G178" s="8"/>
      <c r="H178" s="10">
        <v>0.5</v>
      </c>
      <c r="I178" s="54">
        <f>VLOOKUP(A178,İstasyonlar!$A$2:$D$776,4,0)</f>
        <v>999999999</v>
      </c>
      <c r="J178" s="54">
        <f t="shared" si="5"/>
        <v>50</v>
      </c>
      <c r="K178" t="str">
        <f t="shared" si="4"/>
        <v>Sabit</v>
      </c>
    </row>
    <row r="179" spans="1:11" x14ac:dyDescent="0.3">
      <c r="A179" s="9" t="s">
        <v>38</v>
      </c>
      <c r="B179" s="47" t="s">
        <v>199</v>
      </c>
      <c r="C179" s="8" t="s">
        <v>653</v>
      </c>
      <c r="D179" s="8" t="s">
        <v>652</v>
      </c>
      <c r="E179" s="8"/>
      <c r="F179" s="8"/>
      <c r="G179" s="8"/>
      <c r="H179" s="10">
        <v>4</v>
      </c>
      <c r="I179" s="54">
        <f>VLOOKUP(A179,İstasyonlar!$A$2:$D$776,4,0)</f>
        <v>999999999</v>
      </c>
      <c r="J179" s="54">
        <f t="shared" si="5"/>
        <v>50</v>
      </c>
      <c r="K179" t="str">
        <f t="shared" si="4"/>
        <v>Sabit</v>
      </c>
    </row>
    <row r="180" spans="1:11" x14ac:dyDescent="0.3">
      <c r="A180" s="9" t="s">
        <v>38</v>
      </c>
      <c r="B180" s="47" t="s">
        <v>200</v>
      </c>
      <c r="C180" s="8" t="s">
        <v>653</v>
      </c>
      <c r="D180" s="8" t="s">
        <v>652</v>
      </c>
      <c r="E180" s="8"/>
      <c r="F180" s="8"/>
      <c r="G180" s="8"/>
      <c r="H180" s="10">
        <v>3.1</v>
      </c>
      <c r="I180" s="54">
        <f>VLOOKUP(A180,İstasyonlar!$A$2:$D$776,4,0)</f>
        <v>999999999</v>
      </c>
      <c r="J180" s="54">
        <f t="shared" si="5"/>
        <v>50</v>
      </c>
      <c r="K180" t="str">
        <f t="shared" si="4"/>
        <v>Sabit</v>
      </c>
    </row>
    <row r="181" spans="1:11" x14ac:dyDescent="0.3">
      <c r="A181" s="9" t="s">
        <v>38</v>
      </c>
      <c r="B181" s="47" t="s">
        <v>201</v>
      </c>
      <c r="C181" s="8" t="s">
        <v>653</v>
      </c>
      <c r="D181" s="8" t="s">
        <v>652</v>
      </c>
      <c r="E181" s="8"/>
      <c r="F181" s="8"/>
      <c r="G181" s="8"/>
      <c r="H181" s="10">
        <v>2.6</v>
      </c>
      <c r="I181" s="54">
        <f>VLOOKUP(A181,İstasyonlar!$A$2:$D$776,4,0)</f>
        <v>999999999</v>
      </c>
      <c r="J181" s="54">
        <f t="shared" si="5"/>
        <v>50</v>
      </c>
      <c r="K181" t="str">
        <f t="shared" si="4"/>
        <v>Sabit</v>
      </c>
    </row>
    <row r="182" spans="1:11" x14ac:dyDescent="0.3">
      <c r="A182" s="9" t="s">
        <v>38</v>
      </c>
      <c r="B182" s="47" t="s">
        <v>202</v>
      </c>
      <c r="C182" s="8" t="s">
        <v>653</v>
      </c>
      <c r="D182" s="8" t="s">
        <v>652</v>
      </c>
      <c r="E182" s="8"/>
      <c r="F182" s="8"/>
      <c r="G182" s="8"/>
      <c r="H182" s="10">
        <v>0.5</v>
      </c>
      <c r="I182" s="54">
        <f>VLOOKUP(A182,İstasyonlar!$A$2:$D$776,4,0)</f>
        <v>999999999</v>
      </c>
      <c r="J182" s="54">
        <f t="shared" si="5"/>
        <v>50</v>
      </c>
      <c r="K182" t="str">
        <f t="shared" si="4"/>
        <v>Sabit</v>
      </c>
    </row>
    <row r="183" spans="1:11" x14ac:dyDescent="0.3">
      <c r="A183" s="11" t="s">
        <v>40</v>
      </c>
      <c r="B183" s="48" t="s">
        <v>203</v>
      </c>
      <c r="C183" s="8" t="s">
        <v>655</v>
      </c>
      <c r="D183" s="8" t="s">
        <v>656</v>
      </c>
      <c r="E183" s="8"/>
      <c r="F183" s="8"/>
      <c r="G183" s="8"/>
      <c r="H183" s="10">
        <v>5.0999999999999996</v>
      </c>
      <c r="I183" s="54">
        <f>VLOOKUP(A183,İstasyonlar!$A$2:$D$776,4,0)</f>
        <v>1000000</v>
      </c>
      <c r="J183" s="54">
        <f t="shared" si="5"/>
        <v>51</v>
      </c>
      <c r="K183" t="str">
        <f t="shared" si="4"/>
        <v/>
      </c>
    </row>
    <row r="184" spans="1:11" x14ac:dyDescent="0.3">
      <c r="A184" s="11" t="s">
        <v>40</v>
      </c>
      <c r="B184" s="48" t="s">
        <v>204</v>
      </c>
      <c r="C184" s="8" t="s">
        <v>655</v>
      </c>
      <c r="D184" s="8" t="s">
        <v>656</v>
      </c>
      <c r="E184" s="8"/>
      <c r="F184" s="8"/>
      <c r="G184" s="8"/>
      <c r="H184" s="10">
        <v>4.0999999999999996</v>
      </c>
      <c r="I184" s="54">
        <f>VLOOKUP(A184,İstasyonlar!$A$2:$D$776,4,0)</f>
        <v>1000000</v>
      </c>
      <c r="J184" s="54">
        <f t="shared" si="5"/>
        <v>51</v>
      </c>
      <c r="K184" t="str">
        <f t="shared" si="4"/>
        <v/>
      </c>
    </row>
    <row r="185" spans="1:11" x14ac:dyDescent="0.3">
      <c r="A185" s="11" t="s">
        <v>40</v>
      </c>
      <c r="B185" s="48" t="s">
        <v>205</v>
      </c>
      <c r="C185" s="8" t="s">
        <v>655</v>
      </c>
      <c r="D185" s="8" t="s">
        <v>656</v>
      </c>
      <c r="E185" s="8"/>
      <c r="F185" s="8"/>
      <c r="G185" s="8"/>
      <c r="H185" s="10">
        <v>4.0999999999999996</v>
      </c>
      <c r="I185" s="54">
        <f>VLOOKUP(A185,İstasyonlar!$A$2:$D$776,4,0)</f>
        <v>1000000</v>
      </c>
      <c r="J185" s="54">
        <f t="shared" si="5"/>
        <v>51</v>
      </c>
      <c r="K185" t="str">
        <f t="shared" si="4"/>
        <v/>
      </c>
    </row>
    <row r="186" spans="1:11" x14ac:dyDescent="0.3">
      <c r="A186" s="11" t="s">
        <v>39</v>
      </c>
      <c r="B186" s="48" t="s">
        <v>206</v>
      </c>
      <c r="C186" s="8" t="s">
        <v>656</v>
      </c>
      <c r="D186" s="8" t="s">
        <v>651</v>
      </c>
      <c r="E186" s="8"/>
      <c r="F186" s="8"/>
      <c r="G186" s="8"/>
      <c r="H186" s="10">
        <v>4.0999999999999996</v>
      </c>
      <c r="I186" s="54">
        <f>VLOOKUP(A186,İstasyonlar!$A$2:$D$776,4,0)</f>
        <v>1000000</v>
      </c>
      <c r="J186" s="54">
        <f t="shared" si="5"/>
        <v>52</v>
      </c>
      <c r="K186" t="str">
        <f t="shared" si="4"/>
        <v/>
      </c>
    </row>
    <row r="187" spans="1:11" x14ac:dyDescent="0.3">
      <c r="A187" s="11" t="s">
        <v>39</v>
      </c>
      <c r="B187" s="48" t="s">
        <v>207</v>
      </c>
      <c r="C187" s="8" t="s">
        <v>656</v>
      </c>
      <c r="D187" s="8" t="s">
        <v>651</v>
      </c>
      <c r="E187" s="8"/>
      <c r="F187" s="8"/>
      <c r="G187" s="8"/>
      <c r="H187" s="10">
        <v>4.0999999999999996</v>
      </c>
      <c r="I187" s="54">
        <f>VLOOKUP(A187,İstasyonlar!$A$2:$D$776,4,0)</f>
        <v>1000000</v>
      </c>
      <c r="J187" s="54">
        <f t="shared" si="5"/>
        <v>52</v>
      </c>
      <c r="K187" t="str">
        <f t="shared" si="4"/>
        <v/>
      </c>
    </row>
    <row r="188" spans="1:11" x14ac:dyDescent="0.3">
      <c r="A188" s="11" t="s">
        <v>39</v>
      </c>
      <c r="B188" s="48" t="s">
        <v>208</v>
      </c>
      <c r="C188" s="8" t="s">
        <v>656</v>
      </c>
      <c r="D188" s="8" t="s">
        <v>651</v>
      </c>
      <c r="E188" s="8"/>
      <c r="F188" s="8"/>
      <c r="G188" s="8"/>
      <c r="H188" s="10">
        <v>6.5</v>
      </c>
      <c r="I188" s="54">
        <f>VLOOKUP(A188,İstasyonlar!$A$2:$D$776,4,0)</f>
        <v>1000000</v>
      </c>
      <c r="J188" s="54">
        <f t="shared" si="5"/>
        <v>52</v>
      </c>
      <c r="K188" t="str">
        <f t="shared" si="4"/>
        <v/>
      </c>
    </row>
    <row r="189" spans="1:11" x14ac:dyDescent="0.3">
      <c r="A189" s="11" t="s">
        <v>41</v>
      </c>
      <c r="B189" s="48" t="s">
        <v>211</v>
      </c>
      <c r="C189" s="8" t="s">
        <v>657</v>
      </c>
      <c r="D189" s="8" t="s">
        <v>658</v>
      </c>
      <c r="E189" s="8"/>
      <c r="F189" s="8"/>
      <c r="G189" s="8"/>
      <c r="H189" s="10">
        <v>0.5</v>
      </c>
      <c r="I189" s="54">
        <f>VLOOKUP(A189,İstasyonlar!$A$2:$D$776,4,0)</f>
        <v>999999999</v>
      </c>
      <c r="J189" s="54">
        <f t="shared" si="5"/>
        <v>53</v>
      </c>
      <c r="K189" t="str">
        <f t="shared" si="4"/>
        <v>Sabit</v>
      </c>
    </row>
    <row r="190" spans="1:11" x14ac:dyDescent="0.3">
      <c r="A190" s="11" t="s">
        <v>41</v>
      </c>
      <c r="B190" s="48" t="s">
        <v>212</v>
      </c>
      <c r="C190" s="8" t="s">
        <v>657</v>
      </c>
      <c r="D190" s="8" t="s">
        <v>658</v>
      </c>
      <c r="E190" s="8"/>
      <c r="F190" s="8"/>
      <c r="G190" s="8"/>
      <c r="H190" s="10">
        <v>12</v>
      </c>
      <c r="I190" s="54">
        <f>VLOOKUP(A190,İstasyonlar!$A$2:$D$776,4,0)</f>
        <v>999999999</v>
      </c>
      <c r="J190" s="54">
        <f t="shared" si="5"/>
        <v>53</v>
      </c>
      <c r="K190" t="str">
        <f t="shared" si="4"/>
        <v>Sabit</v>
      </c>
    </row>
    <row r="191" spans="1:11" x14ac:dyDescent="0.3">
      <c r="A191" s="11" t="s">
        <v>41</v>
      </c>
      <c r="B191" s="48" t="s">
        <v>213</v>
      </c>
      <c r="C191" s="8" t="s">
        <v>657</v>
      </c>
      <c r="D191" s="8" t="s">
        <v>658</v>
      </c>
      <c r="E191" s="8"/>
      <c r="F191" s="8"/>
      <c r="G191" s="8"/>
      <c r="H191" s="10">
        <v>4.0999999999999996</v>
      </c>
      <c r="I191" s="54">
        <f>VLOOKUP(A191,İstasyonlar!$A$2:$D$776,4,0)</f>
        <v>999999999</v>
      </c>
      <c r="J191" s="54">
        <f t="shared" si="5"/>
        <v>53</v>
      </c>
      <c r="K191" t="str">
        <f t="shared" si="4"/>
        <v>Sabit</v>
      </c>
    </row>
    <row r="192" spans="1:11" x14ac:dyDescent="0.3">
      <c r="A192" s="11" t="s">
        <v>41</v>
      </c>
      <c r="B192" s="48" t="s">
        <v>214</v>
      </c>
      <c r="C192" s="8" t="s">
        <v>657</v>
      </c>
      <c r="D192" s="8" t="s">
        <v>658</v>
      </c>
      <c r="E192" s="8"/>
      <c r="F192" s="8"/>
      <c r="G192" s="8"/>
      <c r="H192" s="10">
        <v>0.5</v>
      </c>
      <c r="I192" s="54">
        <f>VLOOKUP(A192,İstasyonlar!$A$2:$D$776,4,0)</f>
        <v>999999999</v>
      </c>
      <c r="J192" s="54">
        <f t="shared" si="5"/>
        <v>53</v>
      </c>
      <c r="K192" t="str">
        <f t="shared" si="4"/>
        <v>Sabit</v>
      </c>
    </row>
    <row r="193" spans="1:11" x14ac:dyDescent="0.3">
      <c r="A193" s="11" t="s">
        <v>42</v>
      </c>
      <c r="B193" s="48" t="s">
        <v>215</v>
      </c>
      <c r="C193" s="8" t="s">
        <v>658</v>
      </c>
      <c r="D193" s="8" t="s">
        <v>657</v>
      </c>
      <c r="E193" s="8"/>
      <c r="F193" s="8"/>
      <c r="G193" s="8"/>
      <c r="H193" s="10">
        <v>0.5</v>
      </c>
      <c r="I193" s="54">
        <f>VLOOKUP(A193,İstasyonlar!$A$2:$D$776,4,0)</f>
        <v>999999999</v>
      </c>
      <c r="J193" s="54">
        <f t="shared" si="5"/>
        <v>54</v>
      </c>
      <c r="K193" t="str">
        <f t="shared" si="4"/>
        <v>Sabit</v>
      </c>
    </row>
    <row r="194" spans="1:11" x14ac:dyDescent="0.3">
      <c r="A194" s="11" t="s">
        <v>42</v>
      </c>
      <c r="B194" s="48" t="s">
        <v>216</v>
      </c>
      <c r="C194" s="8" t="s">
        <v>658</v>
      </c>
      <c r="D194" s="8" t="s">
        <v>657</v>
      </c>
      <c r="E194" s="8"/>
      <c r="F194" s="8"/>
      <c r="G194" s="8"/>
      <c r="H194" s="10">
        <v>12</v>
      </c>
      <c r="I194" s="54">
        <f>VLOOKUP(A194,İstasyonlar!$A$2:$D$776,4,0)</f>
        <v>999999999</v>
      </c>
      <c r="J194" s="54">
        <f t="shared" si="5"/>
        <v>54</v>
      </c>
      <c r="K194" t="str">
        <f t="shared" ref="K194:K257" si="6">IF(I194=1000000,"","Sabit")</f>
        <v>Sabit</v>
      </c>
    </row>
    <row r="195" spans="1:11" x14ac:dyDescent="0.3">
      <c r="A195" s="11" t="s">
        <v>42</v>
      </c>
      <c r="B195" s="48" t="s">
        <v>217</v>
      </c>
      <c r="C195" s="8" t="s">
        <v>658</v>
      </c>
      <c r="D195" s="8" t="s">
        <v>657</v>
      </c>
      <c r="E195" s="8"/>
      <c r="F195" s="8"/>
      <c r="G195" s="8"/>
      <c r="H195" s="10">
        <v>4.0999999999999996</v>
      </c>
      <c r="I195" s="54">
        <f>VLOOKUP(A195,İstasyonlar!$A$2:$D$776,4,0)</f>
        <v>999999999</v>
      </c>
      <c r="J195" s="54">
        <f t="shared" ref="J195:J258" si="7">IF(A195=A194, J194, J194+1)</f>
        <v>54</v>
      </c>
      <c r="K195" t="str">
        <f t="shared" si="6"/>
        <v>Sabit</v>
      </c>
    </row>
    <row r="196" spans="1:11" x14ac:dyDescent="0.3">
      <c r="A196" s="11" t="s">
        <v>42</v>
      </c>
      <c r="B196" s="48" t="s">
        <v>218</v>
      </c>
      <c r="C196" s="8" t="s">
        <v>658</v>
      </c>
      <c r="D196" s="8" t="s">
        <v>657</v>
      </c>
      <c r="E196" s="8"/>
      <c r="F196" s="8"/>
      <c r="G196" s="8"/>
      <c r="H196" s="10">
        <v>0.5</v>
      </c>
      <c r="I196" s="54">
        <f>VLOOKUP(A196,İstasyonlar!$A$2:$D$776,4,0)</f>
        <v>999999999</v>
      </c>
      <c r="J196" s="54">
        <f t="shared" si="7"/>
        <v>54</v>
      </c>
      <c r="K196" t="str">
        <f t="shared" si="6"/>
        <v>Sabit</v>
      </c>
    </row>
    <row r="197" spans="1:11" x14ac:dyDescent="0.3">
      <c r="A197" s="11" t="s">
        <v>396</v>
      </c>
      <c r="B197" s="48" t="s">
        <v>761</v>
      </c>
      <c r="C197" s="8" t="s">
        <v>725</v>
      </c>
      <c r="D197" s="8"/>
      <c r="E197" s="8"/>
      <c r="F197" s="8"/>
      <c r="G197" s="8"/>
      <c r="H197" s="10">
        <v>7.2</v>
      </c>
      <c r="I197" s="54">
        <f>VLOOKUP(A197,İstasyonlar!$A$2:$D$776,4,0)</f>
        <v>999999999</v>
      </c>
      <c r="J197" s="54">
        <f t="shared" si="7"/>
        <v>55</v>
      </c>
      <c r="K197" t="str">
        <f t="shared" si="6"/>
        <v>Sabit</v>
      </c>
    </row>
    <row r="198" spans="1:11" x14ac:dyDescent="0.3">
      <c r="A198" s="11" t="s">
        <v>396</v>
      </c>
      <c r="B198" s="48" t="s">
        <v>762</v>
      </c>
      <c r="C198" s="8" t="s">
        <v>725</v>
      </c>
      <c r="D198" s="8"/>
      <c r="E198" s="8"/>
      <c r="F198" s="8"/>
      <c r="G198" s="8"/>
      <c r="H198" s="10">
        <v>7.2</v>
      </c>
      <c r="I198" s="54">
        <f>VLOOKUP(A198,İstasyonlar!$A$2:$D$776,4,0)</f>
        <v>999999999</v>
      </c>
      <c r="J198" s="54">
        <f t="shared" si="7"/>
        <v>55</v>
      </c>
      <c r="K198" t="str">
        <f t="shared" si="6"/>
        <v>Sabit</v>
      </c>
    </row>
    <row r="199" spans="1:11" x14ac:dyDescent="0.3">
      <c r="A199" s="11" t="s">
        <v>396</v>
      </c>
      <c r="B199" s="48" t="s">
        <v>763</v>
      </c>
      <c r="C199" s="8" t="s">
        <v>725</v>
      </c>
      <c r="D199" s="8"/>
      <c r="E199" s="8"/>
      <c r="F199" s="8"/>
      <c r="G199" s="8"/>
      <c r="H199" s="10">
        <v>14</v>
      </c>
      <c r="I199" s="54">
        <f>VLOOKUP(A199,İstasyonlar!$A$2:$D$776,4,0)</f>
        <v>999999999</v>
      </c>
      <c r="J199" s="54">
        <f t="shared" si="7"/>
        <v>55</v>
      </c>
      <c r="K199" t="str">
        <f t="shared" si="6"/>
        <v>Sabit</v>
      </c>
    </row>
    <row r="200" spans="1:11" x14ac:dyDescent="0.3">
      <c r="A200" s="11" t="s">
        <v>43</v>
      </c>
      <c r="B200" s="48" t="s">
        <v>219</v>
      </c>
      <c r="C200" s="8" t="s">
        <v>659</v>
      </c>
      <c r="D200" s="8" t="s">
        <v>660</v>
      </c>
      <c r="E200" s="8"/>
      <c r="F200" s="8"/>
      <c r="G200" s="8"/>
      <c r="H200" s="10">
        <v>5.0999999999999996</v>
      </c>
      <c r="I200" s="54">
        <f>VLOOKUP(A200,İstasyonlar!$A$2:$D$776,4,0)</f>
        <v>1000000</v>
      </c>
      <c r="J200" s="54">
        <f t="shared" si="7"/>
        <v>56</v>
      </c>
      <c r="K200" t="str">
        <f t="shared" si="6"/>
        <v/>
      </c>
    </row>
    <row r="201" spans="1:11" x14ac:dyDescent="0.3">
      <c r="A201" s="11" t="s">
        <v>43</v>
      </c>
      <c r="B201" s="48" t="s">
        <v>220</v>
      </c>
      <c r="C201" s="8" t="s">
        <v>659</v>
      </c>
      <c r="D201" s="8" t="s">
        <v>660</v>
      </c>
      <c r="E201" s="8"/>
      <c r="F201" s="8"/>
      <c r="G201" s="8"/>
      <c r="H201" s="10">
        <v>6</v>
      </c>
      <c r="I201" s="54">
        <f>VLOOKUP(A201,İstasyonlar!$A$2:$D$776,4,0)</f>
        <v>1000000</v>
      </c>
      <c r="J201" s="54">
        <f t="shared" si="7"/>
        <v>56</v>
      </c>
      <c r="K201" t="str">
        <f t="shared" si="6"/>
        <v/>
      </c>
    </row>
    <row r="202" spans="1:11" x14ac:dyDescent="0.3">
      <c r="A202" s="11" t="s">
        <v>43</v>
      </c>
      <c r="B202" s="48" t="s">
        <v>221</v>
      </c>
      <c r="C202" s="8" t="s">
        <v>659</v>
      </c>
      <c r="D202" s="8" t="s">
        <v>660</v>
      </c>
      <c r="E202" s="8"/>
      <c r="F202" s="8"/>
      <c r="G202" s="8"/>
      <c r="H202" s="10">
        <v>3.8</v>
      </c>
      <c r="I202" s="54">
        <f>VLOOKUP(A202,İstasyonlar!$A$2:$D$776,4,0)</f>
        <v>1000000</v>
      </c>
      <c r="J202" s="54">
        <f t="shared" si="7"/>
        <v>56</v>
      </c>
      <c r="K202" t="str">
        <f t="shared" si="6"/>
        <v/>
      </c>
    </row>
    <row r="203" spans="1:11" x14ac:dyDescent="0.3">
      <c r="A203" s="11" t="s">
        <v>31</v>
      </c>
      <c r="B203" s="48" t="s">
        <v>222</v>
      </c>
      <c r="C203" s="8" t="s">
        <v>660</v>
      </c>
      <c r="D203" s="8" t="s">
        <v>659</v>
      </c>
      <c r="E203" s="8"/>
      <c r="F203" s="8"/>
      <c r="G203" s="8"/>
      <c r="H203" s="10">
        <v>8.5</v>
      </c>
      <c r="I203" s="54">
        <f>VLOOKUP(A203,İstasyonlar!$A$2:$D$776,4,0)</f>
        <v>1000000</v>
      </c>
      <c r="J203" s="54">
        <f t="shared" si="7"/>
        <v>57</v>
      </c>
      <c r="K203" t="str">
        <f t="shared" si="6"/>
        <v/>
      </c>
    </row>
    <row r="204" spans="1:11" x14ac:dyDescent="0.3">
      <c r="A204" s="11" t="s">
        <v>31</v>
      </c>
      <c r="B204" s="48" t="s">
        <v>223</v>
      </c>
      <c r="C204" s="8" t="s">
        <v>660</v>
      </c>
      <c r="D204" s="8" t="s">
        <v>659</v>
      </c>
      <c r="E204" s="8"/>
      <c r="F204" s="8"/>
      <c r="G204" s="8"/>
      <c r="H204" s="10">
        <v>2.5</v>
      </c>
      <c r="I204" s="54">
        <f>VLOOKUP(A204,İstasyonlar!$A$2:$D$776,4,0)</f>
        <v>1000000</v>
      </c>
      <c r="J204" s="54">
        <f t="shared" si="7"/>
        <v>57</v>
      </c>
      <c r="K204" t="str">
        <f t="shared" si="6"/>
        <v/>
      </c>
    </row>
    <row r="205" spans="1:11" x14ac:dyDescent="0.3">
      <c r="A205" s="11" t="s">
        <v>31</v>
      </c>
      <c r="B205" s="48" t="s">
        <v>224</v>
      </c>
      <c r="C205" s="8" t="s">
        <v>660</v>
      </c>
      <c r="D205" s="8" t="s">
        <v>659</v>
      </c>
      <c r="E205" s="8"/>
      <c r="F205" s="8"/>
      <c r="G205" s="8"/>
      <c r="H205" s="10">
        <v>2.8</v>
      </c>
      <c r="I205" s="54">
        <f>VLOOKUP(A205,İstasyonlar!$A$2:$D$776,4,0)</f>
        <v>1000000</v>
      </c>
      <c r="J205" s="54">
        <f t="shared" si="7"/>
        <v>57</v>
      </c>
      <c r="K205" t="str">
        <f t="shared" si="6"/>
        <v/>
      </c>
    </row>
    <row r="206" spans="1:11" x14ac:dyDescent="0.3">
      <c r="A206" s="11" t="s">
        <v>44</v>
      </c>
      <c r="B206" s="48" t="s">
        <v>225</v>
      </c>
      <c r="C206" s="8" t="s">
        <v>662</v>
      </c>
      <c r="D206" s="8"/>
      <c r="E206" s="8"/>
      <c r="F206" s="8"/>
      <c r="G206" s="8"/>
      <c r="H206" s="10">
        <v>3.8</v>
      </c>
      <c r="I206" s="54">
        <f>VLOOKUP(A206,İstasyonlar!$A$2:$D$776,4,0)</f>
        <v>999999999</v>
      </c>
      <c r="J206" s="54">
        <f t="shared" si="7"/>
        <v>58</v>
      </c>
      <c r="K206" t="str">
        <f t="shared" si="6"/>
        <v>Sabit</v>
      </c>
    </row>
    <row r="207" spans="1:11" x14ac:dyDescent="0.3">
      <c r="A207" s="11" t="s">
        <v>44</v>
      </c>
      <c r="B207" s="48" t="s">
        <v>226</v>
      </c>
      <c r="C207" s="8" t="s">
        <v>662</v>
      </c>
      <c r="D207" s="8"/>
      <c r="E207" s="8"/>
      <c r="F207" s="8"/>
      <c r="G207" s="8"/>
      <c r="H207" s="10">
        <v>3.5</v>
      </c>
      <c r="I207" s="54">
        <f>VLOOKUP(A207,İstasyonlar!$A$2:$D$776,4,0)</f>
        <v>999999999</v>
      </c>
      <c r="J207" s="54">
        <f t="shared" si="7"/>
        <v>58</v>
      </c>
      <c r="K207" t="str">
        <f t="shared" si="6"/>
        <v>Sabit</v>
      </c>
    </row>
    <row r="208" spans="1:11" x14ac:dyDescent="0.3">
      <c r="A208" s="11" t="s">
        <v>44</v>
      </c>
      <c r="B208" s="48" t="s">
        <v>227</v>
      </c>
      <c r="C208" s="8" t="s">
        <v>662</v>
      </c>
      <c r="D208" s="8"/>
      <c r="E208" s="8"/>
      <c r="F208" s="8"/>
      <c r="G208" s="8"/>
      <c r="H208" s="10">
        <v>3.8</v>
      </c>
      <c r="I208" s="54">
        <f>VLOOKUP(A208,İstasyonlar!$A$2:$D$776,4,0)</f>
        <v>999999999</v>
      </c>
      <c r="J208" s="54">
        <f t="shared" si="7"/>
        <v>58</v>
      </c>
      <c r="K208" t="str">
        <f t="shared" si="6"/>
        <v>Sabit</v>
      </c>
    </row>
    <row r="209" spans="1:11" x14ac:dyDescent="0.3">
      <c r="A209" s="11" t="s">
        <v>285</v>
      </c>
      <c r="B209" s="48" t="s">
        <v>297</v>
      </c>
      <c r="C209" s="8" t="s">
        <v>663</v>
      </c>
      <c r="D209" s="8"/>
      <c r="E209" s="8" t="s">
        <v>629</v>
      </c>
      <c r="F209" s="8"/>
      <c r="G209" s="8"/>
      <c r="H209" s="10">
        <v>0.5</v>
      </c>
      <c r="I209" s="54">
        <f>VLOOKUP(A209,İstasyonlar!$A$2:$D$776,4,0)</f>
        <v>1000000</v>
      </c>
      <c r="J209" s="54">
        <f t="shared" si="7"/>
        <v>59</v>
      </c>
      <c r="K209" t="str">
        <f t="shared" si="6"/>
        <v/>
      </c>
    </row>
    <row r="210" spans="1:11" x14ac:dyDescent="0.3">
      <c r="A210" s="11" t="s">
        <v>285</v>
      </c>
      <c r="B210" s="48" t="s">
        <v>298</v>
      </c>
      <c r="C210" s="8" t="s">
        <v>663</v>
      </c>
      <c r="D210" s="8"/>
      <c r="E210" s="8" t="s">
        <v>629</v>
      </c>
      <c r="F210" s="8"/>
      <c r="G210" s="8"/>
      <c r="H210" s="10">
        <v>3.4</v>
      </c>
      <c r="I210" s="54">
        <f>VLOOKUP(A210,İstasyonlar!$A$2:$D$776,4,0)</f>
        <v>1000000</v>
      </c>
      <c r="J210" s="54">
        <f t="shared" si="7"/>
        <v>59</v>
      </c>
      <c r="K210" t="str">
        <f t="shared" si="6"/>
        <v/>
      </c>
    </row>
    <row r="211" spans="1:11" x14ac:dyDescent="0.3">
      <c r="A211" s="11" t="s">
        <v>285</v>
      </c>
      <c r="B211" s="48" t="s">
        <v>299</v>
      </c>
      <c r="C211" s="8" t="s">
        <v>663</v>
      </c>
      <c r="D211" s="8"/>
      <c r="E211" s="8" t="s">
        <v>629</v>
      </c>
      <c r="F211" s="8"/>
      <c r="G211" s="8"/>
      <c r="H211" s="10">
        <v>2.1</v>
      </c>
      <c r="I211" s="54">
        <f>VLOOKUP(A211,İstasyonlar!$A$2:$D$776,4,0)</f>
        <v>1000000</v>
      </c>
      <c r="J211" s="54">
        <f t="shared" si="7"/>
        <v>59</v>
      </c>
      <c r="K211" t="str">
        <f t="shared" si="6"/>
        <v/>
      </c>
    </row>
    <row r="212" spans="1:11" x14ac:dyDescent="0.3">
      <c r="A212" s="11" t="s">
        <v>285</v>
      </c>
      <c r="B212" s="48" t="s">
        <v>300</v>
      </c>
      <c r="C212" s="8" t="s">
        <v>663</v>
      </c>
      <c r="D212" s="8"/>
      <c r="E212" s="8" t="s">
        <v>629</v>
      </c>
      <c r="F212" s="8"/>
      <c r="G212" s="8"/>
      <c r="H212" s="10">
        <v>7</v>
      </c>
      <c r="I212" s="54">
        <f>VLOOKUP(A212,İstasyonlar!$A$2:$D$776,4,0)</f>
        <v>1000000</v>
      </c>
      <c r="J212" s="54">
        <f t="shared" si="7"/>
        <v>59</v>
      </c>
      <c r="K212" t="str">
        <f t="shared" si="6"/>
        <v/>
      </c>
    </row>
    <row r="213" spans="1:11" x14ac:dyDescent="0.3">
      <c r="A213" s="11" t="s">
        <v>285</v>
      </c>
      <c r="B213" s="48" t="s">
        <v>301</v>
      </c>
      <c r="C213" s="8" t="s">
        <v>663</v>
      </c>
      <c r="D213" s="8"/>
      <c r="E213" s="8" t="s">
        <v>629</v>
      </c>
      <c r="F213" s="8"/>
      <c r="G213" s="8"/>
      <c r="H213" s="10">
        <v>4</v>
      </c>
      <c r="I213" s="54">
        <f>VLOOKUP(A213,İstasyonlar!$A$2:$D$776,4,0)</f>
        <v>1000000</v>
      </c>
      <c r="J213" s="54">
        <f t="shared" si="7"/>
        <v>59</v>
      </c>
      <c r="K213" t="str">
        <f t="shared" si="6"/>
        <v/>
      </c>
    </row>
    <row r="214" spans="1:11" x14ac:dyDescent="0.3">
      <c r="A214" s="11" t="s">
        <v>45</v>
      </c>
      <c r="B214" s="48" t="s">
        <v>228</v>
      </c>
      <c r="C214" s="8" t="s">
        <v>664</v>
      </c>
      <c r="D214" s="8" t="s">
        <v>663</v>
      </c>
      <c r="E214" s="8"/>
      <c r="F214" s="8"/>
      <c r="G214" s="8"/>
      <c r="H214" s="10">
        <v>3.4</v>
      </c>
      <c r="I214" s="54">
        <f>VLOOKUP(A214,İstasyonlar!$A$2:$D$776,4,0)</f>
        <v>1000000</v>
      </c>
      <c r="J214" s="54">
        <f t="shared" si="7"/>
        <v>60</v>
      </c>
      <c r="K214" t="str">
        <f t="shared" si="6"/>
        <v/>
      </c>
    </row>
    <row r="215" spans="1:11" x14ac:dyDescent="0.3">
      <c r="A215" s="11" t="s">
        <v>45</v>
      </c>
      <c r="B215" s="48" t="s">
        <v>229</v>
      </c>
      <c r="C215" s="8" t="s">
        <v>664</v>
      </c>
      <c r="D215" s="8" t="s">
        <v>663</v>
      </c>
      <c r="E215" s="8"/>
      <c r="F215" s="8"/>
      <c r="G215" s="8"/>
      <c r="H215" s="10">
        <v>6.4</v>
      </c>
      <c r="I215" s="54">
        <f>VLOOKUP(A215,İstasyonlar!$A$2:$D$776,4,0)</f>
        <v>1000000</v>
      </c>
      <c r="J215" s="54">
        <f t="shared" si="7"/>
        <v>60</v>
      </c>
      <c r="K215" t="str">
        <f t="shared" si="6"/>
        <v/>
      </c>
    </row>
    <row r="216" spans="1:11" x14ac:dyDescent="0.3">
      <c r="A216" s="11" t="s">
        <v>45</v>
      </c>
      <c r="B216" s="48" t="s">
        <v>230</v>
      </c>
      <c r="C216" s="8" t="s">
        <v>664</v>
      </c>
      <c r="D216" s="8" t="s">
        <v>663</v>
      </c>
      <c r="E216" s="8"/>
      <c r="F216" s="8"/>
      <c r="G216" s="8"/>
      <c r="H216" s="10">
        <v>4.2</v>
      </c>
      <c r="I216" s="54">
        <f>VLOOKUP(A216,İstasyonlar!$A$2:$D$776,4,0)</f>
        <v>1000000</v>
      </c>
      <c r="J216" s="54">
        <f t="shared" si="7"/>
        <v>60</v>
      </c>
      <c r="K216" t="str">
        <f t="shared" si="6"/>
        <v/>
      </c>
    </row>
    <row r="217" spans="1:11" x14ac:dyDescent="0.3">
      <c r="A217" s="11" t="s">
        <v>45</v>
      </c>
      <c r="B217" s="48" t="s">
        <v>231</v>
      </c>
      <c r="C217" s="8" t="s">
        <v>664</v>
      </c>
      <c r="D217" s="8" t="s">
        <v>663</v>
      </c>
      <c r="E217" s="8"/>
      <c r="F217" s="8"/>
      <c r="G217" s="8"/>
      <c r="H217" s="10">
        <v>1.5</v>
      </c>
      <c r="I217" s="54">
        <f>VLOOKUP(A217,İstasyonlar!$A$2:$D$776,4,0)</f>
        <v>1000000</v>
      </c>
      <c r="J217" s="54">
        <f t="shared" si="7"/>
        <v>60</v>
      </c>
      <c r="K217" t="str">
        <f t="shared" si="6"/>
        <v/>
      </c>
    </row>
    <row r="218" spans="1:11" x14ac:dyDescent="0.3">
      <c r="A218" s="11" t="s">
        <v>46</v>
      </c>
      <c r="B218" s="48" t="s">
        <v>232</v>
      </c>
      <c r="C218" s="8" t="s">
        <v>665</v>
      </c>
      <c r="D218" s="8"/>
      <c r="E218" s="8"/>
      <c r="F218" s="8"/>
      <c r="G218" s="8"/>
      <c r="H218" s="10">
        <v>0.5</v>
      </c>
      <c r="I218" s="54">
        <f>VLOOKUP(A218,İstasyonlar!$A$2:$D$776,4,0)</f>
        <v>1000000</v>
      </c>
      <c r="J218" s="54">
        <f t="shared" si="7"/>
        <v>61</v>
      </c>
      <c r="K218" t="str">
        <f t="shared" si="6"/>
        <v/>
      </c>
    </row>
    <row r="219" spans="1:11" x14ac:dyDescent="0.3">
      <c r="A219" s="11" t="s">
        <v>46</v>
      </c>
      <c r="B219" s="48" t="s">
        <v>233</v>
      </c>
      <c r="C219" s="8" t="s">
        <v>665</v>
      </c>
      <c r="D219" s="8"/>
      <c r="E219" s="8"/>
      <c r="F219" s="8"/>
      <c r="G219" s="8"/>
      <c r="H219" s="10">
        <v>3.1</v>
      </c>
      <c r="I219" s="54">
        <f>VLOOKUP(A219,İstasyonlar!$A$2:$D$776,4,0)</f>
        <v>1000000</v>
      </c>
      <c r="J219" s="54">
        <f t="shared" si="7"/>
        <v>61</v>
      </c>
      <c r="K219" t="str">
        <f t="shared" si="6"/>
        <v/>
      </c>
    </row>
    <row r="220" spans="1:11" x14ac:dyDescent="0.3">
      <c r="A220" s="11" t="s">
        <v>46</v>
      </c>
      <c r="B220" s="48" t="s">
        <v>234</v>
      </c>
      <c r="C220" s="8" t="s">
        <v>665</v>
      </c>
      <c r="D220" s="8"/>
      <c r="E220" s="8"/>
      <c r="F220" s="8"/>
      <c r="G220" s="8"/>
      <c r="H220" s="10">
        <v>4.2</v>
      </c>
      <c r="I220" s="54">
        <f>VLOOKUP(A220,İstasyonlar!$A$2:$D$776,4,0)</f>
        <v>1000000</v>
      </c>
      <c r="J220" s="54">
        <f t="shared" si="7"/>
        <v>61</v>
      </c>
      <c r="K220" t="str">
        <f t="shared" si="6"/>
        <v/>
      </c>
    </row>
    <row r="221" spans="1:11" x14ac:dyDescent="0.3">
      <c r="A221" s="11" t="s">
        <v>46</v>
      </c>
      <c r="B221" s="48" t="s">
        <v>235</v>
      </c>
      <c r="C221" s="8" t="s">
        <v>665</v>
      </c>
      <c r="D221" s="8"/>
      <c r="E221" s="8"/>
      <c r="F221" s="8"/>
      <c r="G221" s="8"/>
      <c r="H221" s="10">
        <v>2.1</v>
      </c>
      <c r="I221" s="54">
        <f>VLOOKUP(A221,İstasyonlar!$A$2:$D$776,4,0)</f>
        <v>1000000</v>
      </c>
      <c r="J221" s="54">
        <f t="shared" si="7"/>
        <v>61</v>
      </c>
      <c r="K221" t="str">
        <f t="shared" si="6"/>
        <v/>
      </c>
    </row>
    <row r="222" spans="1:11" x14ac:dyDescent="0.3">
      <c r="A222" s="11" t="s">
        <v>46</v>
      </c>
      <c r="B222" s="48" t="s">
        <v>236</v>
      </c>
      <c r="C222" s="8" t="s">
        <v>665</v>
      </c>
      <c r="D222" s="8"/>
      <c r="E222" s="8"/>
      <c r="F222" s="8"/>
      <c r="G222" s="8"/>
      <c r="H222" s="10">
        <v>0.5</v>
      </c>
      <c r="I222" s="54">
        <f>VLOOKUP(A222,İstasyonlar!$A$2:$D$776,4,0)</f>
        <v>1000000</v>
      </c>
      <c r="J222" s="54">
        <f t="shared" si="7"/>
        <v>61</v>
      </c>
      <c r="K222" t="str">
        <f t="shared" si="6"/>
        <v/>
      </c>
    </row>
    <row r="223" spans="1:11" x14ac:dyDescent="0.3">
      <c r="A223" s="11" t="s">
        <v>46</v>
      </c>
      <c r="B223" s="48" t="s">
        <v>237</v>
      </c>
      <c r="C223" s="8" t="s">
        <v>665</v>
      </c>
      <c r="D223" s="8"/>
      <c r="E223" s="8"/>
      <c r="F223" s="8"/>
      <c r="G223" s="8"/>
      <c r="H223" s="10">
        <v>0.5</v>
      </c>
      <c r="I223" s="54">
        <f>VLOOKUP(A223,İstasyonlar!$A$2:$D$776,4,0)</f>
        <v>1000000</v>
      </c>
      <c r="J223" s="54">
        <f t="shared" si="7"/>
        <v>61</v>
      </c>
      <c r="K223" t="str">
        <f t="shared" si="6"/>
        <v/>
      </c>
    </row>
    <row r="224" spans="1:11" x14ac:dyDescent="0.3">
      <c r="A224" s="11" t="s">
        <v>47</v>
      </c>
      <c r="B224" s="48" t="s">
        <v>238</v>
      </c>
      <c r="C224" s="8" t="s">
        <v>666</v>
      </c>
      <c r="D224" s="8" t="s">
        <v>634</v>
      </c>
      <c r="E224" s="8"/>
      <c r="F224" s="8"/>
      <c r="G224" s="8"/>
      <c r="H224" s="10">
        <v>1.5</v>
      </c>
      <c r="I224" s="54">
        <f>VLOOKUP(A224,İstasyonlar!$A$2:$D$776,4,0)</f>
        <v>999999999</v>
      </c>
      <c r="J224" s="54">
        <f t="shared" si="7"/>
        <v>62</v>
      </c>
      <c r="K224" t="str">
        <f t="shared" si="6"/>
        <v>Sabit</v>
      </c>
    </row>
    <row r="225" spans="1:11" x14ac:dyDescent="0.3">
      <c r="A225" s="11" t="s">
        <v>47</v>
      </c>
      <c r="B225" s="48" t="s">
        <v>239</v>
      </c>
      <c r="C225" s="8" t="s">
        <v>666</v>
      </c>
      <c r="D225" s="8" t="s">
        <v>634</v>
      </c>
      <c r="E225" s="8"/>
      <c r="F225" s="8"/>
      <c r="G225" s="8"/>
      <c r="H225" s="10">
        <v>4.3</v>
      </c>
      <c r="I225" s="54">
        <f>VLOOKUP(A225,İstasyonlar!$A$2:$D$776,4,0)</f>
        <v>999999999</v>
      </c>
      <c r="J225" s="54">
        <f t="shared" si="7"/>
        <v>62</v>
      </c>
      <c r="K225" t="str">
        <f t="shared" si="6"/>
        <v>Sabit</v>
      </c>
    </row>
    <row r="226" spans="1:11" x14ac:dyDescent="0.3">
      <c r="A226" s="11" t="s">
        <v>47</v>
      </c>
      <c r="B226" s="48" t="s">
        <v>240</v>
      </c>
      <c r="C226" s="8" t="s">
        <v>666</v>
      </c>
      <c r="D226" s="8" t="s">
        <v>634</v>
      </c>
      <c r="E226" s="8"/>
      <c r="F226" s="8"/>
      <c r="G226" s="8"/>
      <c r="H226" s="10">
        <v>4.5</v>
      </c>
      <c r="I226" s="54">
        <f>VLOOKUP(A226,İstasyonlar!$A$2:$D$776,4,0)</f>
        <v>999999999</v>
      </c>
      <c r="J226" s="54">
        <f t="shared" si="7"/>
        <v>62</v>
      </c>
      <c r="K226" t="str">
        <f t="shared" si="6"/>
        <v>Sabit</v>
      </c>
    </row>
    <row r="227" spans="1:11" x14ac:dyDescent="0.3">
      <c r="A227" s="11" t="s">
        <v>47</v>
      </c>
      <c r="B227" s="48" t="s">
        <v>241</v>
      </c>
      <c r="C227" s="8" t="s">
        <v>666</v>
      </c>
      <c r="D227" s="8" t="s">
        <v>634</v>
      </c>
      <c r="E227" s="8"/>
      <c r="F227" s="8"/>
      <c r="G227" s="8"/>
      <c r="H227" s="10">
        <v>2.8</v>
      </c>
      <c r="I227" s="54">
        <f>VLOOKUP(A227,İstasyonlar!$A$2:$D$776,4,0)</f>
        <v>999999999</v>
      </c>
      <c r="J227" s="54">
        <f t="shared" si="7"/>
        <v>62</v>
      </c>
      <c r="K227" t="str">
        <f t="shared" si="6"/>
        <v>Sabit</v>
      </c>
    </row>
    <row r="228" spans="1:11" x14ac:dyDescent="0.3">
      <c r="A228" s="11" t="s">
        <v>47</v>
      </c>
      <c r="B228" s="48" t="s">
        <v>242</v>
      </c>
      <c r="C228" s="8" t="s">
        <v>666</v>
      </c>
      <c r="D228" s="8" t="s">
        <v>634</v>
      </c>
      <c r="E228" s="8"/>
      <c r="F228" s="8"/>
      <c r="G228" s="8"/>
      <c r="H228" s="10">
        <v>6.4</v>
      </c>
      <c r="I228" s="54">
        <f>VLOOKUP(A228,İstasyonlar!$A$2:$D$776,4,0)</f>
        <v>999999999</v>
      </c>
      <c r="J228" s="54">
        <f t="shared" si="7"/>
        <v>62</v>
      </c>
      <c r="K228" t="str">
        <f t="shared" si="6"/>
        <v>Sabit</v>
      </c>
    </row>
    <row r="229" spans="1:11" x14ac:dyDescent="0.3">
      <c r="A229" s="11" t="s">
        <v>47</v>
      </c>
      <c r="B229" s="48" t="s">
        <v>400</v>
      </c>
      <c r="C229" s="8" t="s">
        <v>666</v>
      </c>
      <c r="D229" s="8" t="s">
        <v>634</v>
      </c>
      <c r="E229" s="8"/>
      <c r="F229" s="8"/>
      <c r="G229" s="8"/>
      <c r="H229" s="10">
        <v>4</v>
      </c>
      <c r="I229" s="54">
        <f>VLOOKUP(A229,İstasyonlar!$A$2:$D$776,4,0)</f>
        <v>999999999</v>
      </c>
      <c r="J229" s="54">
        <f t="shared" si="7"/>
        <v>62</v>
      </c>
      <c r="K229" t="str">
        <f t="shared" si="6"/>
        <v>Sabit</v>
      </c>
    </row>
    <row r="230" spans="1:11" x14ac:dyDescent="0.3">
      <c r="A230" s="11" t="s">
        <v>47</v>
      </c>
      <c r="B230" s="48" t="s">
        <v>401</v>
      </c>
      <c r="C230" s="8" t="s">
        <v>666</v>
      </c>
      <c r="D230" s="8" t="s">
        <v>634</v>
      </c>
      <c r="E230" s="8"/>
      <c r="F230" s="8"/>
      <c r="G230" s="8"/>
      <c r="H230" s="10">
        <v>1.5</v>
      </c>
      <c r="I230" s="54">
        <f>VLOOKUP(A230,İstasyonlar!$A$2:$D$776,4,0)</f>
        <v>999999999</v>
      </c>
      <c r="J230" s="54">
        <f t="shared" si="7"/>
        <v>62</v>
      </c>
      <c r="K230" t="str">
        <f t="shared" si="6"/>
        <v>Sabit</v>
      </c>
    </row>
    <row r="231" spans="1:11" x14ac:dyDescent="0.3">
      <c r="A231" s="11" t="s">
        <v>47</v>
      </c>
      <c r="B231" s="48" t="s">
        <v>402</v>
      </c>
      <c r="C231" s="8" t="s">
        <v>666</v>
      </c>
      <c r="D231" s="8" t="s">
        <v>634</v>
      </c>
      <c r="E231" s="8"/>
      <c r="F231" s="8"/>
      <c r="G231" s="8"/>
      <c r="H231" s="10">
        <v>3.1</v>
      </c>
      <c r="I231" s="54">
        <f>VLOOKUP(A231,İstasyonlar!$A$2:$D$776,4,0)</f>
        <v>999999999</v>
      </c>
      <c r="J231" s="54">
        <f t="shared" si="7"/>
        <v>62</v>
      </c>
      <c r="K231" t="str">
        <f t="shared" si="6"/>
        <v>Sabit</v>
      </c>
    </row>
    <row r="232" spans="1:11" x14ac:dyDescent="0.3">
      <c r="A232" s="11" t="s">
        <v>403</v>
      </c>
      <c r="B232" s="48" t="s">
        <v>732</v>
      </c>
      <c r="C232" s="8" t="s">
        <v>634</v>
      </c>
      <c r="D232" s="8" t="s">
        <v>668</v>
      </c>
      <c r="E232" s="8"/>
      <c r="F232" s="8"/>
      <c r="G232" s="8"/>
      <c r="H232" s="10">
        <v>5</v>
      </c>
      <c r="I232" s="54">
        <f>VLOOKUP(A232,İstasyonlar!$A$2:$D$776,4,0)</f>
        <v>999999999</v>
      </c>
      <c r="J232" s="54">
        <f t="shared" si="7"/>
        <v>63</v>
      </c>
      <c r="K232" t="str">
        <f t="shared" si="6"/>
        <v>Sabit</v>
      </c>
    </row>
    <row r="233" spans="1:11" x14ac:dyDescent="0.3">
      <c r="A233" s="11" t="s">
        <v>403</v>
      </c>
      <c r="B233" s="48" t="s">
        <v>733</v>
      </c>
      <c r="C233" s="8" t="s">
        <v>634</v>
      </c>
      <c r="D233" s="8" t="s">
        <v>668</v>
      </c>
      <c r="E233" s="8"/>
      <c r="F233" s="8"/>
      <c r="G233" s="8"/>
      <c r="H233" s="10">
        <v>0.8</v>
      </c>
      <c r="I233" s="54">
        <f>VLOOKUP(A233,İstasyonlar!$A$2:$D$776,4,0)</f>
        <v>999999999</v>
      </c>
      <c r="J233" s="54">
        <f t="shared" si="7"/>
        <v>63</v>
      </c>
      <c r="K233" t="str">
        <f t="shared" si="6"/>
        <v>Sabit</v>
      </c>
    </row>
    <row r="234" spans="1:11" x14ac:dyDescent="0.3">
      <c r="A234" s="11" t="s">
        <v>403</v>
      </c>
      <c r="B234" s="48" t="s">
        <v>734</v>
      </c>
      <c r="C234" s="8" t="s">
        <v>634</v>
      </c>
      <c r="D234" s="8" t="s">
        <v>668</v>
      </c>
      <c r="E234" s="8"/>
      <c r="F234" s="8"/>
      <c r="G234" s="8"/>
      <c r="H234" s="10">
        <v>1.5</v>
      </c>
      <c r="I234" s="54">
        <f>VLOOKUP(A234,İstasyonlar!$A$2:$D$776,4,0)</f>
        <v>999999999</v>
      </c>
      <c r="J234" s="54">
        <f t="shared" si="7"/>
        <v>63</v>
      </c>
      <c r="K234" t="str">
        <f t="shared" si="6"/>
        <v>Sabit</v>
      </c>
    </row>
    <row r="235" spans="1:11" x14ac:dyDescent="0.3">
      <c r="A235" s="11" t="s">
        <v>403</v>
      </c>
      <c r="B235" s="48" t="s">
        <v>735</v>
      </c>
      <c r="C235" s="8" t="s">
        <v>634</v>
      </c>
      <c r="D235" s="8" t="s">
        <v>668</v>
      </c>
      <c r="E235" s="8"/>
      <c r="F235" s="8"/>
      <c r="G235" s="8"/>
      <c r="H235" s="10">
        <v>2.1</v>
      </c>
      <c r="I235" s="54">
        <f>VLOOKUP(A235,İstasyonlar!$A$2:$D$776,4,0)</f>
        <v>999999999</v>
      </c>
      <c r="J235" s="54">
        <f t="shared" si="7"/>
        <v>63</v>
      </c>
      <c r="K235" t="str">
        <f t="shared" si="6"/>
        <v>Sabit</v>
      </c>
    </row>
    <row r="236" spans="1:11" x14ac:dyDescent="0.3">
      <c r="A236" s="11" t="s">
        <v>403</v>
      </c>
      <c r="B236" s="48" t="s">
        <v>736</v>
      </c>
      <c r="C236" s="8" t="s">
        <v>634</v>
      </c>
      <c r="D236" s="8" t="s">
        <v>668</v>
      </c>
      <c r="E236" s="8"/>
      <c r="F236" s="8"/>
      <c r="G236" s="8"/>
      <c r="H236" s="10">
        <v>1</v>
      </c>
      <c r="I236" s="54">
        <f>VLOOKUP(A236,İstasyonlar!$A$2:$D$776,4,0)</f>
        <v>999999999</v>
      </c>
      <c r="J236" s="54">
        <f t="shared" si="7"/>
        <v>63</v>
      </c>
      <c r="K236" t="str">
        <f t="shared" si="6"/>
        <v>Sabit</v>
      </c>
    </row>
    <row r="237" spans="1:11" x14ac:dyDescent="0.3">
      <c r="A237" s="11" t="s">
        <v>403</v>
      </c>
      <c r="B237" s="48" t="s">
        <v>737</v>
      </c>
      <c r="C237" s="8" t="s">
        <v>634</v>
      </c>
      <c r="D237" s="8" t="s">
        <v>668</v>
      </c>
      <c r="E237" s="8"/>
      <c r="F237" s="8"/>
      <c r="G237" s="8"/>
      <c r="H237" s="10">
        <v>2.1</v>
      </c>
      <c r="I237" s="54">
        <f>VLOOKUP(A237,İstasyonlar!$A$2:$D$776,4,0)</f>
        <v>999999999</v>
      </c>
      <c r="J237" s="54">
        <f t="shared" si="7"/>
        <v>63</v>
      </c>
      <c r="K237" t="str">
        <f t="shared" si="6"/>
        <v>Sabit</v>
      </c>
    </row>
    <row r="238" spans="1:11" x14ac:dyDescent="0.3">
      <c r="A238" s="11" t="s">
        <v>48</v>
      </c>
      <c r="B238" s="48" t="s">
        <v>307</v>
      </c>
      <c r="C238" s="8" t="s">
        <v>674</v>
      </c>
      <c r="D238" s="8" t="s">
        <v>666</v>
      </c>
      <c r="E238" s="8"/>
      <c r="F238" s="8"/>
      <c r="G238" s="8"/>
      <c r="H238" s="10">
        <v>4</v>
      </c>
      <c r="I238" s="54">
        <f>VLOOKUP(A238,İstasyonlar!$A$2:$D$776,4,0)</f>
        <v>1000000</v>
      </c>
      <c r="J238" s="54">
        <f t="shared" si="7"/>
        <v>64</v>
      </c>
      <c r="K238" t="str">
        <f t="shared" si="6"/>
        <v/>
      </c>
    </row>
    <row r="239" spans="1:11" x14ac:dyDescent="0.3">
      <c r="A239" s="11" t="s">
        <v>48</v>
      </c>
      <c r="B239" s="48" t="s">
        <v>308</v>
      </c>
      <c r="C239" s="8" t="s">
        <v>674</v>
      </c>
      <c r="D239" s="8" t="s">
        <v>666</v>
      </c>
      <c r="E239" s="8"/>
      <c r="F239" s="8"/>
      <c r="G239" s="8"/>
      <c r="H239" s="10">
        <v>4</v>
      </c>
      <c r="I239" s="54">
        <f>VLOOKUP(A239,İstasyonlar!$A$2:$D$776,4,0)</f>
        <v>1000000</v>
      </c>
      <c r="J239" s="54">
        <f t="shared" si="7"/>
        <v>64</v>
      </c>
      <c r="K239" t="str">
        <f t="shared" si="6"/>
        <v/>
      </c>
    </row>
    <row r="240" spans="1:11" x14ac:dyDescent="0.3">
      <c r="A240" s="11" t="s">
        <v>48</v>
      </c>
      <c r="B240" s="48" t="s">
        <v>404</v>
      </c>
      <c r="C240" s="8" t="s">
        <v>674</v>
      </c>
      <c r="D240" s="8" t="s">
        <v>666</v>
      </c>
      <c r="E240" s="8"/>
      <c r="F240" s="8"/>
      <c r="G240" s="8"/>
      <c r="H240" s="10">
        <v>4</v>
      </c>
      <c r="I240" s="54">
        <f>VLOOKUP(A240,İstasyonlar!$A$2:$D$776,4,0)</f>
        <v>1000000</v>
      </c>
      <c r="J240" s="54">
        <f t="shared" si="7"/>
        <v>64</v>
      </c>
      <c r="K240" t="str">
        <f t="shared" si="6"/>
        <v/>
      </c>
    </row>
    <row r="241" spans="1:11" x14ac:dyDescent="0.3">
      <c r="A241" s="11" t="s">
        <v>48</v>
      </c>
      <c r="B241" s="48" t="s">
        <v>306</v>
      </c>
      <c r="C241" s="8" t="s">
        <v>674</v>
      </c>
      <c r="D241" s="8" t="s">
        <v>666</v>
      </c>
      <c r="E241" s="8"/>
      <c r="F241" s="8"/>
      <c r="G241" s="8"/>
      <c r="H241" s="10">
        <v>3.8</v>
      </c>
      <c r="I241" s="54">
        <f>VLOOKUP(A241,İstasyonlar!$A$2:$D$776,4,0)</f>
        <v>1000000</v>
      </c>
      <c r="J241" s="54">
        <f t="shared" si="7"/>
        <v>64</v>
      </c>
      <c r="K241" t="str">
        <f t="shared" si="6"/>
        <v/>
      </c>
    </row>
    <row r="242" spans="1:11" x14ac:dyDescent="0.3">
      <c r="A242" s="11" t="s">
        <v>49</v>
      </c>
      <c r="B242" s="48" t="s">
        <v>243</v>
      </c>
      <c r="C242" s="8" t="s">
        <v>675</v>
      </c>
      <c r="D242" s="8" t="s">
        <v>629</v>
      </c>
      <c r="E242" s="8" t="s">
        <v>662</v>
      </c>
      <c r="F242" s="8"/>
      <c r="G242" s="8"/>
      <c r="H242" s="10">
        <v>3.1</v>
      </c>
      <c r="I242" s="54">
        <f>VLOOKUP(A242,İstasyonlar!$A$2:$D$776,4,0)</f>
        <v>1000000</v>
      </c>
      <c r="J242" s="54">
        <f t="shared" si="7"/>
        <v>65</v>
      </c>
      <c r="K242" t="str">
        <f t="shared" si="6"/>
        <v/>
      </c>
    </row>
    <row r="243" spans="1:11" x14ac:dyDescent="0.3">
      <c r="A243" s="11" t="s">
        <v>49</v>
      </c>
      <c r="B243" s="48" t="s">
        <v>244</v>
      </c>
      <c r="C243" s="8" t="s">
        <v>675</v>
      </c>
      <c r="D243" s="8" t="s">
        <v>629</v>
      </c>
      <c r="E243" s="8" t="s">
        <v>662</v>
      </c>
      <c r="F243" s="8"/>
      <c r="G243" s="8"/>
      <c r="H243" s="10">
        <v>2.9</v>
      </c>
      <c r="I243" s="54">
        <f>VLOOKUP(A243,İstasyonlar!$A$2:$D$776,4,0)</f>
        <v>1000000</v>
      </c>
      <c r="J243" s="54">
        <f t="shared" si="7"/>
        <v>65</v>
      </c>
      <c r="K243" t="str">
        <f t="shared" si="6"/>
        <v/>
      </c>
    </row>
    <row r="244" spans="1:11" x14ac:dyDescent="0.3">
      <c r="A244" s="11" t="s">
        <v>49</v>
      </c>
      <c r="B244" s="48" t="s">
        <v>245</v>
      </c>
      <c r="C244" s="8" t="s">
        <v>675</v>
      </c>
      <c r="D244" s="8" t="s">
        <v>629</v>
      </c>
      <c r="E244" s="8" t="s">
        <v>662</v>
      </c>
      <c r="F244" s="8"/>
      <c r="G244" s="8"/>
      <c r="H244" s="10">
        <v>7.2</v>
      </c>
      <c r="I244" s="54">
        <f>VLOOKUP(A244,İstasyonlar!$A$2:$D$776,4,0)</f>
        <v>1000000</v>
      </c>
      <c r="J244" s="54">
        <f t="shared" si="7"/>
        <v>65</v>
      </c>
      <c r="K244" t="str">
        <f t="shared" si="6"/>
        <v/>
      </c>
    </row>
    <row r="245" spans="1:11" x14ac:dyDescent="0.3">
      <c r="A245" s="11" t="s">
        <v>49</v>
      </c>
      <c r="B245" s="48" t="s">
        <v>246</v>
      </c>
      <c r="C245" s="8" t="s">
        <v>675</v>
      </c>
      <c r="D245" s="8" t="s">
        <v>629</v>
      </c>
      <c r="E245" s="8" t="s">
        <v>662</v>
      </c>
      <c r="F245" s="8"/>
      <c r="G245" s="8"/>
      <c r="H245" s="10">
        <v>0.5</v>
      </c>
      <c r="I245" s="54">
        <f>VLOOKUP(A245,İstasyonlar!$A$2:$D$776,4,0)</f>
        <v>1000000</v>
      </c>
      <c r="J245" s="54">
        <f t="shared" si="7"/>
        <v>65</v>
      </c>
      <c r="K245" t="str">
        <f t="shared" si="6"/>
        <v/>
      </c>
    </row>
    <row r="246" spans="1:11" x14ac:dyDescent="0.3">
      <c r="A246" s="11" t="s">
        <v>50</v>
      </c>
      <c r="B246" s="48" t="s">
        <v>247</v>
      </c>
      <c r="C246" s="8" t="s">
        <v>744</v>
      </c>
      <c r="D246" s="8" t="s">
        <v>675</v>
      </c>
      <c r="E246" s="8" t="s">
        <v>664</v>
      </c>
      <c r="F246" s="8"/>
      <c r="G246" s="8"/>
      <c r="H246" s="10">
        <v>3.7</v>
      </c>
      <c r="I246" s="54">
        <f>VLOOKUP(A246,İstasyonlar!$A$2:$D$776,4,0)</f>
        <v>1000000</v>
      </c>
      <c r="J246" s="54">
        <f t="shared" si="7"/>
        <v>66</v>
      </c>
      <c r="K246" t="str">
        <f t="shared" si="6"/>
        <v/>
      </c>
    </row>
    <row r="247" spans="1:11" x14ac:dyDescent="0.3">
      <c r="A247" s="11" t="s">
        <v>50</v>
      </c>
      <c r="B247" s="48" t="s">
        <v>248</v>
      </c>
      <c r="C247" s="8" t="s">
        <v>744</v>
      </c>
      <c r="D247" s="8" t="s">
        <v>675</v>
      </c>
      <c r="E247" s="8" t="s">
        <v>664</v>
      </c>
      <c r="F247" s="8"/>
      <c r="G247" s="8"/>
      <c r="H247" s="10">
        <v>3.8</v>
      </c>
      <c r="I247" s="54">
        <f>VLOOKUP(A247,İstasyonlar!$A$2:$D$776,4,0)</f>
        <v>1000000</v>
      </c>
      <c r="J247" s="54">
        <f t="shared" si="7"/>
        <v>66</v>
      </c>
      <c r="K247" t="str">
        <f t="shared" si="6"/>
        <v/>
      </c>
    </row>
    <row r="248" spans="1:11" x14ac:dyDescent="0.3">
      <c r="A248" s="11" t="s">
        <v>50</v>
      </c>
      <c r="B248" s="48" t="s">
        <v>249</v>
      </c>
      <c r="C248" s="8" t="s">
        <v>744</v>
      </c>
      <c r="D248" s="8" t="s">
        <v>675</v>
      </c>
      <c r="E248" s="8" t="s">
        <v>664</v>
      </c>
      <c r="F248" s="8"/>
      <c r="G248" s="8"/>
      <c r="H248" s="10">
        <v>6.1</v>
      </c>
      <c r="I248" s="54">
        <f>VLOOKUP(A248,İstasyonlar!$A$2:$D$776,4,0)</f>
        <v>1000000</v>
      </c>
      <c r="J248" s="54">
        <f t="shared" si="7"/>
        <v>66</v>
      </c>
      <c r="K248" t="str">
        <f t="shared" si="6"/>
        <v/>
      </c>
    </row>
    <row r="249" spans="1:11" x14ac:dyDescent="0.3">
      <c r="A249" s="11" t="s">
        <v>50</v>
      </c>
      <c r="B249" s="48" t="s">
        <v>250</v>
      </c>
      <c r="C249" s="8" t="s">
        <v>744</v>
      </c>
      <c r="D249" s="8" t="s">
        <v>675</v>
      </c>
      <c r="E249" s="8" t="s">
        <v>664</v>
      </c>
      <c r="F249" s="8"/>
      <c r="G249" s="8"/>
      <c r="H249" s="10">
        <v>1</v>
      </c>
      <c r="I249" s="54">
        <f>VLOOKUP(A249,İstasyonlar!$A$2:$D$776,4,0)</f>
        <v>1000000</v>
      </c>
      <c r="J249" s="54">
        <f t="shared" si="7"/>
        <v>66</v>
      </c>
      <c r="K249" t="str">
        <f t="shared" si="6"/>
        <v/>
      </c>
    </row>
    <row r="250" spans="1:11" x14ac:dyDescent="0.3">
      <c r="A250" s="11" t="s">
        <v>51</v>
      </c>
      <c r="B250" s="48" t="s">
        <v>251</v>
      </c>
      <c r="C250" s="8" t="s">
        <v>629</v>
      </c>
      <c r="D250" s="8" t="s">
        <v>676</v>
      </c>
      <c r="E250" s="8"/>
      <c r="F250" s="8"/>
      <c r="G250" s="8"/>
      <c r="H250" s="10">
        <v>6.9</v>
      </c>
      <c r="I250" s="54">
        <f>VLOOKUP(A250,İstasyonlar!$A$2:$D$776,4,0)</f>
        <v>999999999</v>
      </c>
      <c r="J250" s="54">
        <f t="shared" si="7"/>
        <v>67</v>
      </c>
      <c r="K250" t="str">
        <f t="shared" si="6"/>
        <v>Sabit</v>
      </c>
    </row>
    <row r="251" spans="1:11" x14ac:dyDescent="0.3">
      <c r="A251" s="11" t="s">
        <v>51</v>
      </c>
      <c r="B251" s="48" t="s">
        <v>252</v>
      </c>
      <c r="C251" s="8" t="s">
        <v>629</v>
      </c>
      <c r="D251" s="8" t="s">
        <v>676</v>
      </c>
      <c r="E251" s="8"/>
      <c r="F251" s="8"/>
      <c r="G251" s="8"/>
      <c r="H251" s="10">
        <v>3.1</v>
      </c>
      <c r="I251" s="54">
        <f>VLOOKUP(A251,İstasyonlar!$A$2:$D$776,4,0)</f>
        <v>999999999</v>
      </c>
      <c r="J251" s="54">
        <f t="shared" si="7"/>
        <v>67</v>
      </c>
      <c r="K251" t="str">
        <f t="shared" si="6"/>
        <v>Sabit</v>
      </c>
    </row>
    <row r="252" spans="1:11" x14ac:dyDescent="0.3">
      <c r="A252" s="11" t="s">
        <v>51</v>
      </c>
      <c r="B252" s="48" t="s">
        <v>253</v>
      </c>
      <c r="C252" s="8" t="s">
        <v>629</v>
      </c>
      <c r="D252" s="8" t="s">
        <v>676</v>
      </c>
      <c r="E252" s="8"/>
      <c r="F252" s="8"/>
      <c r="G252" s="8"/>
      <c r="H252" s="10">
        <v>4.2</v>
      </c>
      <c r="I252" s="54">
        <f>VLOOKUP(A252,İstasyonlar!$A$2:$D$776,4,0)</f>
        <v>999999999</v>
      </c>
      <c r="J252" s="54">
        <f t="shared" si="7"/>
        <v>67</v>
      </c>
      <c r="K252" t="str">
        <f t="shared" si="6"/>
        <v>Sabit</v>
      </c>
    </row>
    <row r="253" spans="1:11" x14ac:dyDescent="0.3">
      <c r="A253" s="11" t="s">
        <v>52</v>
      </c>
      <c r="B253" s="48" t="s">
        <v>254</v>
      </c>
      <c r="C253" s="8" t="s">
        <v>676</v>
      </c>
      <c r="D253" s="8"/>
      <c r="E253" s="8"/>
      <c r="F253" s="8"/>
      <c r="G253" s="8"/>
      <c r="H253" s="10">
        <v>5.5</v>
      </c>
      <c r="I253" s="54">
        <f>VLOOKUP(A253,İstasyonlar!$A$2:$D$776,4,0)</f>
        <v>999999999</v>
      </c>
      <c r="J253" s="54">
        <f t="shared" si="7"/>
        <v>68</v>
      </c>
      <c r="K253" t="str">
        <f t="shared" si="6"/>
        <v>Sabit</v>
      </c>
    </row>
    <row r="254" spans="1:11" x14ac:dyDescent="0.3">
      <c r="A254" s="11" t="s">
        <v>52</v>
      </c>
      <c r="B254" s="48" t="s">
        <v>255</v>
      </c>
      <c r="C254" s="8" t="s">
        <v>676</v>
      </c>
      <c r="D254" s="8"/>
      <c r="E254" s="8"/>
      <c r="F254" s="8"/>
      <c r="G254" s="8"/>
      <c r="H254" s="10">
        <v>1.8</v>
      </c>
      <c r="I254" s="54">
        <f>VLOOKUP(A254,İstasyonlar!$A$2:$D$776,4,0)</f>
        <v>999999999</v>
      </c>
      <c r="J254" s="54">
        <f t="shared" si="7"/>
        <v>68</v>
      </c>
      <c r="K254" t="str">
        <f t="shared" si="6"/>
        <v>Sabit</v>
      </c>
    </row>
    <row r="255" spans="1:11" x14ac:dyDescent="0.3">
      <c r="A255" s="11" t="s">
        <v>52</v>
      </c>
      <c r="B255" s="48" t="s">
        <v>256</v>
      </c>
      <c r="C255" s="8" t="s">
        <v>676</v>
      </c>
      <c r="D255" s="8"/>
      <c r="E255" s="8"/>
      <c r="F255" s="8"/>
      <c r="G255" s="8"/>
      <c r="H255" s="10">
        <v>2.5</v>
      </c>
      <c r="I255" s="54">
        <f>VLOOKUP(A255,İstasyonlar!$A$2:$D$776,4,0)</f>
        <v>999999999</v>
      </c>
      <c r="J255" s="54">
        <f t="shared" si="7"/>
        <v>68</v>
      </c>
      <c r="K255" t="str">
        <f t="shared" si="6"/>
        <v>Sabit</v>
      </c>
    </row>
    <row r="256" spans="1:11" x14ac:dyDescent="0.3">
      <c r="A256" s="11" t="s">
        <v>53</v>
      </c>
      <c r="B256" s="48" t="s">
        <v>257</v>
      </c>
      <c r="C256" s="8" t="s">
        <v>677</v>
      </c>
      <c r="D256" s="8"/>
      <c r="E256" s="8"/>
      <c r="F256" s="8"/>
      <c r="G256" s="8"/>
      <c r="H256" s="10">
        <v>0.5</v>
      </c>
      <c r="I256" s="54">
        <f>VLOOKUP(A256,İstasyonlar!$A$2:$D$776,4,0)</f>
        <v>999999999</v>
      </c>
      <c r="J256" s="54">
        <f t="shared" si="7"/>
        <v>69</v>
      </c>
      <c r="K256" t="str">
        <f t="shared" si="6"/>
        <v>Sabit</v>
      </c>
    </row>
    <row r="257" spans="1:11" x14ac:dyDescent="0.3">
      <c r="A257" s="11" t="s">
        <v>53</v>
      </c>
      <c r="B257" s="48" t="s">
        <v>258</v>
      </c>
      <c r="C257" s="8" t="s">
        <v>677</v>
      </c>
      <c r="D257" s="8"/>
      <c r="E257" s="8"/>
      <c r="F257" s="8"/>
      <c r="G257" s="8"/>
      <c r="H257" s="10">
        <v>2.8</v>
      </c>
      <c r="I257" s="54">
        <f>VLOOKUP(A257,İstasyonlar!$A$2:$D$776,4,0)</f>
        <v>999999999</v>
      </c>
      <c r="J257" s="54">
        <f t="shared" si="7"/>
        <v>69</v>
      </c>
      <c r="K257" t="str">
        <f t="shared" si="6"/>
        <v>Sabit</v>
      </c>
    </row>
    <row r="258" spans="1:11" x14ac:dyDescent="0.3">
      <c r="A258" s="11" t="s">
        <v>53</v>
      </c>
      <c r="B258" s="48" t="s">
        <v>259</v>
      </c>
      <c r="C258" s="8" t="s">
        <v>677</v>
      </c>
      <c r="D258" s="8"/>
      <c r="E258" s="8"/>
      <c r="F258" s="8"/>
      <c r="G258" s="8"/>
      <c r="H258" s="10">
        <v>3.8</v>
      </c>
      <c r="I258" s="54">
        <f>VLOOKUP(A258,İstasyonlar!$A$2:$D$776,4,0)</f>
        <v>999999999</v>
      </c>
      <c r="J258" s="54">
        <f t="shared" si="7"/>
        <v>69</v>
      </c>
      <c r="K258" t="str">
        <f t="shared" ref="K258:K305" si="8">IF(I258=1000000,"","Sabit")</f>
        <v>Sabit</v>
      </c>
    </row>
    <row r="259" spans="1:11" x14ac:dyDescent="0.3">
      <c r="A259" s="11" t="s">
        <v>53</v>
      </c>
      <c r="B259" s="48" t="s">
        <v>260</v>
      </c>
      <c r="C259" s="8" t="s">
        <v>677</v>
      </c>
      <c r="D259" s="8"/>
      <c r="E259" s="8"/>
      <c r="F259" s="8"/>
      <c r="G259" s="8"/>
      <c r="H259" s="10">
        <v>3.9</v>
      </c>
      <c r="I259" s="54">
        <f>VLOOKUP(A259,İstasyonlar!$A$2:$D$776,4,0)</f>
        <v>999999999</v>
      </c>
      <c r="J259" s="54">
        <f t="shared" ref="J259:J305" si="9">IF(A259=A258, J258, J258+1)</f>
        <v>69</v>
      </c>
      <c r="K259" t="str">
        <f t="shared" si="8"/>
        <v>Sabit</v>
      </c>
    </row>
    <row r="260" spans="1:11" x14ac:dyDescent="0.3">
      <c r="A260" s="11" t="s">
        <v>53</v>
      </c>
      <c r="B260" s="48" t="s">
        <v>261</v>
      </c>
      <c r="C260" s="8" t="s">
        <v>677</v>
      </c>
      <c r="D260" s="8"/>
      <c r="E260" s="8"/>
      <c r="F260" s="8"/>
      <c r="G260" s="8"/>
      <c r="H260" s="10">
        <v>0.5</v>
      </c>
      <c r="I260" s="54">
        <f>VLOOKUP(A260,İstasyonlar!$A$2:$D$776,4,0)</f>
        <v>999999999</v>
      </c>
      <c r="J260" s="54">
        <f t="shared" si="9"/>
        <v>69</v>
      </c>
      <c r="K260" t="str">
        <f t="shared" si="8"/>
        <v>Sabit</v>
      </c>
    </row>
    <row r="261" spans="1:11" x14ac:dyDescent="0.3">
      <c r="A261" s="11" t="s">
        <v>53</v>
      </c>
      <c r="B261" s="48" t="s">
        <v>262</v>
      </c>
      <c r="C261" s="8" t="s">
        <v>677</v>
      </c>
      <c r="D261" s="8"/>
      <c r="E261" s="8"/>
      <c r="F261" s="8"/>
      <c r="G261" s="8"/>
      <c r="H261" s="10">
        <v>3.1</v>
      </c>
      <c r="I261" s="54">
        <f>VLOOKUP(A261,İstasyonlar!$A$2:$D$776,4,0)</f>
        <v>999999999</v>
      </c>
      <c r="J261" s="54">
        <f t="shared" si="9"/>
        <v>69</v>
      </c>
      <c r="K261" t="str">
        <f t="shared" si="8"/>
        <v>Sabit</v>
      </c>
    </row>
    <row r="262" spans="1:11" x14ac:dyDescent="0.3">
      <c r="A262" s="11" t="s">
        <v>53</v>
      </c>
      <c r="B262" s="48" t="s">
        <v>263</v>
      </c>
      <c r="C262" s="8" t="s">
        <v>677</v>
      </c>
      <c r="D262" s="8"/>
      <c r="E262" s="8"/>
      <c r="F262" s="8"/>
      <c r="G262" s="8"/>
      <c r="H262" s="10">
        <v>3.1</v>
      </c>
      <c r="I262" s="54">
        <f>VLOOKUP(A262,İstasyonlar!$A$2:$D$776,4,0)</f>
        <v>999999999</v>
      </c>
      <c r="J262" s="54">
        <f t="shared" si="9"/>
        <v>69</v>
      </c>
      <c r="K262" t="str">
        <f t="shared" si="8"/>
        <v>Sabit</v>
      </c>
    </row>
    <row r="263" spans="1:11" x14ac:dyDescent="0.3">
      <c r="A263" s="11" t="s">
        <v>53</v>
      </c>
      <c r="B263" s="48" t="s">
        <v>264</v>
      </c>
      <c r="C263" s="8" t="s">
        <v>677</v>
      </c>
      <c r="D263" s="8"/>
      <c r="E263" s="8"/>
      <c r="F263" s="8"/>
      <c r="G263" s="8"/>
      <c r="H263" s="10">
        <v>0.5</v>
      </c>
      <c r="I263" s="54">
        <f>VLOOKUP(A263,İstasyonlar!$A$2:$D$776,4,0)</f>
        <v>999999999</v>
      </c>
      <c r="J263" s="54">
        <f t="shared" si="9"/>
        <v>69</v>
      </c>
      <c r="K263" t="str">
        <f t="shared" si="8"/>
        <v>Sabit</v>
      </c>
    </row>
    <row r="264" spans="1:11" x14ac:dyDescent="0.3">
      <c r="A264" s="11" t="s">
        <v>54</v>
      </c>
      <c r="B264" s="48" t="s">
        <v>265</v>
      </c>
      <c r="C264" s="8" t="s">
        <v>668</v>
      </c>
      <c r="D264" s="8" t="s">
        <v>677</v>
      </c>
      <c r="E264" s="8"/>
      <c r="F264" s="8"/>
      <c r="G264" s="8"/>
      <c r="H264" s="10">
        <v>2.5</v>
      </c>
      <c r="I264" s="54">
        <f>VLOOKUP(A264,İstasyonlar!$A$2:$D$776,4,0)</f>
        <v>999999999</v>
      </c>
      <c r="J264" s="54">
        <f t="shared" si="9"/>
        <v>70</v>
      </c>
      <c r="K264" t="str">
        <f t="shared" si="8"/>
        <v>Sabit</v>
      </c>
    </row>
    <row r="265" spans="1:11" x14ac:dyDescent="0.3">
      <c r="A265" s="11" t="s">
        <v>54</v>
      </c>
      <c r="B265" s="48" t="s">
        <v>266</v>
      </c>
      <c r="C265" s="8" t="s">
        <v>668</v>
      </c>
      <c r="D265" s="8" t="s">
        <v>677</v>
      </c>
      <c r="E265" s="8"/>
      <c r="F265" s="8"/>
      <c r="G265" s="8"/>
      <c r="H265" s="10">
        <v>1.5</v>
      </c>
      <c r="I265" s="54">
        <f>VLOOKUP(A265,İstasyonlar!$A$2:$D$776,4,0)</f>
        <v>999999999</v>
      </c>
      <c r="J265" s="54">
        <f t="shared" si="9"/>
        <v>70</v>
      </c>
      <c r="K265" t="str">
        <f t="shared" si="8"/>
        <v>Sabit</v>
      </c>
    </row>
    <row r="266" spans="1:11" x14ac:dyDescent="0.3">
      <c r="A266" s="11" t="s">
        <v>54</v>
      </c>
      <c r="B266" s="48" t="s">
        <v>267</v>
      </c>
      <c r="C266" s="8" t="s">
        <v>668</v>
      </c>
      <c r="D266" s="8" t="s">
        <v>677</v>
      </c>
      <c r="E266" s="8"/>
      <c r="F266" s="8"/>
      <c r="G266" s="8"/>
      <c r="H266" s="10">
        <v>2.5</v>
      </c>
      <c r="I266" s="54">
        <f>VLOOKUP(A266,İstasyonlar!$A$2:$D$776,4,0)</f>
        <v>999999999</v>
      </c>
      <c r="J266" s="54">
        <f t="shared" si="9"/>
        <v>70</v>
      </c>
      <c r="K266" t="str">
        <f t="shared" si="8"/>
        <v>Sabit</v>
      </c>
    </row>
    <row r="267" spans="1:11" x14ac:dyDescent="0.3">
      <c r="A267" s="11" t="s">
        <v>54</v>
      </c>
      <c r="B267" s="48" t="s">
        <v>268</v>
      </c>
      <c r="C267" s="8" t="s">
        <v>668</v>
      </c>
      <c r="D267" s="8" t="s">
        <v>677</v>
      </c>
      <c r="E267" s="8"/>
      <c r="F267" s="8"/>
      <c r="G267" s="8"/>
      <c r="H267" s="10">
        <v>1</v>
      </c>
      <c r="I267" s="54">
        <f>VLOOKUP(A267,İstasyonlar!$A$2:$D$776,4,0)</f>
        <v>999999999</v>
      </c>
      <c r="J267" s="54">
        <f t="shared" si="9"/>
        <v>70</v>
      </c>
      <c r="K267" t="str">
        <f t="shared" si="8"/>
        <v>Sabit</v>
      </c>
    </row>
    <row r="268" spans="1:11" x14ac:dyDescent="0.3">
      <c r="A268" s="11" t="s">
        <v>55</v>
      </c>
      <c r="B268" s="48" t="s">
        <v>269</v>
      </c>
      <c r="C268" s="8" t="s">
        <v>678</v>
      </c>
      <c r="D268" s="8" t="s">
        <v>633</v>
      </c>
      <c r="E268" s="8"/>
      <c r="F268" s="8"/>
      <c r="G268" s="8"/>
      <c r="H268" s="10">
        <v>0.5</v>
      </c>
      <c r="I268" s="54">
        <f>VLOOKUP(A268,İstasyonlar!$A$2:$D$776,4,0)</f>
        <v>999999999</v>
      </c>
      <c r="J268" s="54">
        <f t="shared" si="9"/>
        <v>71</v>
      </c>
      <c r="K268" t="str">
        <f t="shared" si="8"/>
        <v>Sabit</v>
      </c>
    </row>
    <row r="269" spans="1:11" x14ac:dyDescent="0.3">
      <c r="A269" s="11" t="s">
        <v>55</v>
      </c>
      <c r="B269" s="48" t="s">
        <v>270</v>
      </c>
      <c r="C269" s="8" t="s">
        <v>678</v>
      </c>
      <c r="D269" s="8" t="s">
        <v>633</v>
      </c>
      <c r="E269" s="8"/>
      <c r="F269" s="8"/>
      <c r="G269" s="8"/>
      <c r="H269" s="10">
        <v>2.1</v>
      </c>
      <c r="I269" s="54">
        <f>VLOOKUP(A269,İstasyonlar!$A$2:$D$776,4,0)</f>
        <v>999999999</v>
      </c>
      <c r="J269" s="54">
        <f t="shared" si="9"/>
        <v>71</v>
      </c>
      <c r="K269" t="str">
        <f t="shared" si="8"/>
        <v>Sabit</v>
      </c>
    </row>
    <row r="270" spans="1:11" x14ac:dyDescent="0.3">
      <c r="A270" s="11" t="s">
        <v>55</v>
      </c>
      <c r="B270" s="48" t="s">
        <v>271</v>
      </c>
      <c r="C270" s="8" t="s">
        <v>678</v>
      </c>
      <c r="D270" s="8" t="s">
        <v>633</v>
      </c>
      <c r="E270" s="8"/>
      <c r="F270" s="8"/>
      <c r="G270" s="8"/>
      <c r="H270" s="10">
        <v>5.5</v>
      </c>
      <c r="I270" s="54">
        <f>VLOOKUP(A270,İstasyonlar!$A$2:$D$776,4,0)</f>
        <v>999999999</v>
      </c>
      <c r="J270" s="54">
        <f t="shared" si="9"/>
        <v>71</v>
      </c>
      <c r="K270" t="str">
        <f t="shared" si="8"/>
        <v>Sabit</v>
      </c>
    </row>
    <row r="271" spans="1:11" x14ac:dyDescent="0.3">
      <c r="A271" s="11" t="s">
        <v>55</v>
      </c>
      <c r="B271" s="48" t="s">
        <v>272</v>
      </c>
      <c r="C271" s="8" t="s">
        <v>678</v>
      </c>
      <c r="D271" s="8" t="s">
        <v>633</v>
      </c>
      <c r="E271" s="8"/>
      <c r="F271" s="8"/>
      <c r="G271" s="8"/>
      <c r="H271" s="10">
        <v>4</v>
      </c>
      <c r="I271" s="54">
        <f>VLOOKUP(A271,İstasyonlar!$A$2:$D$776,4,0)</f>
        <v>999999999</v>
      </c>
      <c r="J271" s="54">
        <f t="shared" si="9"/>
        <v>71</v>
      </c>
      <c r="K271" t="str">
        <f t="shared" si="8"/>
        <v>Sabit</v>
      </c>
    </row>
    <row r="272" spans="1:11" x14ac:dyDescent="0.3">
      <c r="A272" s="11" t="s">
        <v>55</v>
      </c>
      <c r="B272" s="48" t="s">
        <v>273</v>
      </c>
      <c r="C272" s="8" t="s">
        <v>678</v>
      </c>
      <c r="D272" s="8" t="s">
        <v>633</v>
      </c>
      <c r="E272" s="8"/>
      <c r="F272" s="8"/>
      <c r="G272" s="8"/>
      <c r="H272" s="10">
        <v>3</v>
      </c>
      <c r="I272" s="54">
        <f>VLOOKUP(A272,İstasyonlar!$A$2:$D$776,4,0)</f>
        <v>999999999</v>
      </c>
      <c r="J272" s="54">
        <f t="shared" si="9"/>
        <v>71</v>
      </c>
      <c r="K272" t="str">
        <f t="shared" si="8"/>
        <v>Sabit</v>
      </c>
    </row>
    <row r="273" spans="1:11" x14ac:dyDescent="0.3">
      <c r="A273" s="11" t="s">
        <v>55</v>
      </c>
      <c r="B273" s="48" t="s">
        <v>274</v>
      </c>
      <c r="C273" s="8" t="s">
        <v>678</v>
      </c>
      <c r="D273" s="8" t="s">
        <v>633</v>
      </c>
      <c r="E273" s="8"/>
      <c r="F273" s="8"/>
      <c r="G273" s="8"/>
      <c r="H273" s="10">
        <v>3.1</v>
      </c>
      <c r="I273" s="54">
        <f>VLOOKUP(A273,İstasyonlar!$A$2:$D$776,4,0)</f>
        <v>999999999</v>
      </c>
      <c r="J273" s="54">
        <f t="shared" si="9"/>
        <v>71</v>
      </c>
      <c r="K273" t="str">
        <f t="shared" si="8"/>
        <v>Sabit</v>
      </c>
    </row>
    <row r="274" spans="1:11" x14ac:dyDescent="0.3">
      <c r="A274" s="11" t="s">
        <v>55</v>
      </c>
      <c r="B274" s="48" t="s">
        <v>275</v>
      </c>
      <c r="C274" s="8" t="s">
        <v>678</v>
      </c>
      <c r="D274" s="8" t="s">
        <v>633</v>
      </c>
      <c r="E274" s="8"/>
      <c r="F274" s="8"/>
      <c r="G274" s="8"/>
      <c r="H274" s="10">
        <v>0.5</v>
      </c>
      <c r="I274" s="54">
        <f>VLOOKUP(A274,İstasyonlar!$A$2:$D$776,4,0)</f>
        <v>999999999</v>
      </c>
      <c r="J274" s="54">
        <f t="shared" si="9"/>
        <v>71</v>
      </c>
      <c r="K274" t="str">
        <f t="shared" si="8"/>
        <v>Sabit</v>
      </c>
    </row>
    <row r="275" spans="1:11" x14ac:dyDescent="0.3">
      <c r="A275" s="11" t="s">
        <v>55</v>
      </c>
      <c r="B275" s="48" t="s">
        <v>276</v>
      </c>
      <c r="C275" s="8" t="s">
        <v>678</v>
      </c>
      <c r="D275" s="8" t="s">
        <v>633</v>
      </c>
      <c r="E275" s="8"/>
      <c r="F275" s="8"/>
      <c r="G275" s="8"/>
      <c r="H275" s="10">
        <v>0.5</v>
      </c>
      <c r="I275" s="54">
        <f>VLOOKUP(A275,İstasyonlar!$A$2:$D$776,4,0)</f>
        <v>999999999</v>
      </c>
      <c r="J275" s="54">
        <f t="shared" si="9"/>
        <v>71</v>
      </c>
      <c r="K275" t="str">
        <f t="shared" si="8"/>
        <v>Sabit</v>
      </c>
    </row>
    <row r="276" spans="1:11" x14ac:dyDescent="0.3">
      <c r="A276" s="11" t="s">
        <v>56</v>
      </c>
      <c r="B276" s="48" t="s">
        <v>277</v>
      </c>
      <c r="C276" s="8" t="s">
        <v>679</v>
      </c>
      <c r="D276" s="8"/>
      <c r="E276" s="8"/>
      <c r="F276" s="8"/>
      <c r="G276" s="8"/>
      <c r="H276" s="10">
        <v>6.5</v>
      </c>
      <c r="I276" s="54">
        <f>VLOOKUP(A276,İstasyonlar!$A$2:$D$776,4,0)</f>
        <v>999999999</v>
      </c>
      <c r="J276" s="54">
        <f t="shared" si="9"/>
        <v>72</v>
      </c>
      <c r="K276" t="str">
        <f t="shared" si="8"/>
        <v>Sabit</v>
      </c>
    </row>
    <row r="277" spans="1:11" x14ac:dyDescent="0.3">
      <c r="A277" s="11" t="s">
        <v>56</v>
      </c>
      <c r="B277" s="48" t="s">
        <v>278</v>
      </c>
      <c r="C277" s="8" t="s">
        <v>679</v>
      </c>
      <c r="D277" s="8"/>
      <c r="E277" s="8"/>
      <c r="F277" s="8"/>
      <c r="G277" s="8"/>
      <c r="H277" s="10">
        <v>6.1</v>
      </c>
      <c r="I277" s="54">
        <f>VLOOKUP(A277,İstasyonlar!$A$2:$D$776,4,0)</f>
        <v>999999999</v>
      </c>
      <c r="J277" s="54">
        <f t="shared" si="9"/>
        <v>72</v>
      </c>
      <c r="K277" t="str">
        <f t="shared" si="8"/>
        <v>Sabit</v>
      </c>
    </row>
    <row r="278" spans="1:11" x14ac:dyDescent="0.3">
      <c r="A278" s="11" t="s">
        <v>56</v>
      </c>
      <c r="B278" s="48" t="s">
        <v>279</v>
      </c>
      <c r="C278" s="8" t="s">
        <v>679</v>
      </c>
      <c r="D278" s="8"/>
      <c r="E278" s="8"/>
      <c r="F278" s="8"/>
      <c r="G278" s="8"/>
      <c r="H278" s="10">
        <v>2.5</v>
      </c>
      <c r="I278" s="54">
        <f>VLOOKUP(A278,İstasyonlar!$A$2:$D$776,4,0)</f>
        <v>999999999</v>
      </c>
      <c r="J278" s="54">
        <f t="shared" si="9"/>
        <v>72</v>
      </c>
      <c r="K278" t="str">
        <f t="shared" si="8"/>
        <v>Sabit</v>
      </c>
    </row>
    <row r="279" spans="1:11" x14ac:dyDescent="0.3">
      <c r="A279" s="11" t="s">
        <v>383</v>
      </c>
      <c r="B279" s="48" t="s">
        <v>478</v>
      </c>
      <c r="C279" s="8" t="s">
        <v>646</v>
      </c>
      <c r="D279" s="8" t="s">
        <v>647</v>
      </c>
      <c r="E279" s="8"/>
      <c r="F279" s="8"/>
      <c r="G279" s="8"/>
      <c r="H279" s="10">
        <v>3.9</v>
      </c>
      <c r="I279" s="54">
        <f>VLOOKUP(A279,İstasyonlar!$A$2:$D$776,4,0)</f>
        <v>999999999</v>
      </c>
      <c r="J279" s="54">
        <f t="shared" si="9"/>
        <v>73</v>
      </c>
      <c r="K279" t="str">
        <f t="shared" si="8"/>
        <v>Sabit</v>
      </c>
    </row>
    <row r="280" spans="1:11" x14ac:dyDescent="0.3">
      <c r="A280" s="11" t="s">
        <v>383</v>
      </c>
      <c r="B280" s="48" t="s">
        <v>479</v>
      </c>
      <c r="C280" s="8" t="s">
        <v>646</v>
      </c>
      <c r="D280" s="8" t="s">
        <v>647</v>
      </c>
      <c r="E280" s="8"/>
      <c r="F280" s="8"/>
      <c r="G280" s="8"/>
      <c r="H280" s="10">
        <v>1.2</v>
      </c>
      <c r="I280" s="54">
        <f>VLOOKUP(A280,İstasyonlar!$A$2:$D$776,4,0)</f>
        <v>999999999</v>
      </c>
      <c r="J280" s="54">
        <f t="shared" si="9"/>
        <v>73</v>
      </c>
      <c r="K280" t="str">
        <f t="shared" si="8"/>
        <v>Sabit</v>
      </c>
    </row>
    <row r="281" spans="1:11" x14ac:dyDescent="0.3">
      <c r="A281" s="11" t="s">
        <v>383</v>
      </c>
      <c r="B281" s="48" t="s">
        <v>480</v>
      </c>
      <c r="C281" s="8" t="s">
        <v>646</v>
      </c>
      <c r="D281" s="8" t="s">
        <v>647</v>
      </c>
      <c r="E281" s="8"/>
      <c r="F281" s="8"/>
      <c r="G281" s="8"/>
      <c r="H281" s="10">
        <v>4.9000000000000004</v>
      </c>
      <c r="I281" s="54">
        <f>VLOOKUP(A281,İstasyonlar!$A$2:$D$776,4,0)</f>
        <v>999999999</v>
      </c>
      <c r="J281" s="54">
        <f t="shared" si="9"/>
        <v>73</v>
      </c>
      <c r="K281" t="str">
        <f t="shared" si="8"/>
        <v>Sabit</v>
      </c>
    </row>
    <row r="282" spans="1:11" x14ac:dyDescent="0.3">
      <c r="A282" s="11" t="s">
        <v>383</v>
      </c>
      <c r="B282" s="48" t="s">
        <v>481</v>
      </c>
      <c r="C282" s="8" t="s">
        <v>646</v>
      </c>
      <c r="D282" s="8" t="s">
        <v>647</v>
      </c>
      <c r="E282" s="8"/>
      <c r="F282" s="8"/>
      <c r="G282" s="8"/>
      <c r="H282" s="10">
        <v>2.8</v>
      </c>
      <c r="I282" s="54">
        <f>VLOOKUP(A282,İstasyonlar!$A$2:$D$776,4,0)</f>
        <v>999999999</v>
      </c>
      <c r="J282" s="54">
        <f t="shared" si="9"/>
        <v>73</v>
      </c>
      <c r="K282" t="str">
        <f t="shared" si="8"/>
        <v>Sabit</v>
      </c>
    </row>
    <row r="283" spans="1:11" x14ac:dyDescent="0.3">
      <c r="A283" s="11" t="s">
        <v>383</v>
      </c>
      <c r="B283" s="48" t="s">
        <v>483</v>
      </c>
      <c r="C283" s="8" t="s">
        <v>646</v>
      </c>
      <c r="D283" s="8" t="s">
        <v>647</v>
      </c>
      <c r="E283" s="8"/>
      <c r="F283" s="8"/>
      <c r="G283" s="8"/>
      <c r="H283" s="10">
        <v>1</v>
      </c>
      <c r="I283" s="54">
        <f>VLOOKUP(A283,İstasyonlar!$A$2:$D$776,4,0)</f>
        <v>999999999</v>
      </c>
      <c r="J283" s="54">
        <f t="shared" si="9"/>
        <v>73</v>
      </c>
      <c r="K283" t="str">
        <f t="shared" si="8"/>
        <v>Sabit</v>
      </c>
    </row>
    <row r="284" spans="1:11" x14ac:dyDescent="0.3">
      <c r="A284" s="11" t="s">
        <v>432</v>
      </c>
      <c r="B284" s="47" t="s">
        <v>499</v>
      </c>
      <c r="C284" s="8" t="s">
        <v>688</v>
      </c>
      <c r="D284" s="8" t="s">
        <v>615</v>
      </c>
      <c r="E284" s="8" t="s">
        <v>689</v>
      </c>
      <c r="F284" s="8"/>
      <c r="G284" s="8"/>
      <c r="H284" s="10">
        <v>5.4</v>
      </c>
      <c r="I284" s="54">
        <f>VLOOKUP(A284,İstasyonlar!$A$2:$D$776,4,0)</f>
        <v>999999999</v>
      </c>
      <c r="J284" s="54">
        <f t="shared" si="9"/>
        <v>74</v>
      </c>
      <c r="K284" t="str">
        <f t="shared" si="8"/>
        <v>Sabit</v>
      </c>
    </row>
    <row r="285" spans="1:11" x14ac:dyDescent="0.3">
      <c r="A285" s="11" t="s">
        <v>432</v>
      </c>
      <c r="B285" s="47" t="s">
        <v>500</v>
      </c>
      <c r="C285" s="8" t="s">
        <v>688</v>
      </c>
      <c r="D285" s="8" t="s">
        <v>615</v>
      </c>
      <c r="E285" s="8" t="s">
        <v>689</v>
      </c>
      <c r="F285" s="8"/>
      <c r="G285" s="8"/>
      <c r="H285" s="10">
        <v>2</v>
      </c>
      <c r="I285" s="54">
        <f>VLOOKUP(A285,İstasyonlar!$A$2:$D$776,4,0)</f>
        <v>999999999</v>
      </c>
      <c r="J285" s="54">
        <f t="shared" si="9"/>
        <v>74</v>
      </c>
      <c r="K285" t="str">
        <f t="shared" si="8"/>
        <v>Sabit</v>
      </c>
    </row>
    <row r="286" spans="1:11" x14ac:dyDescent="0.3">
      <c r="A286" s="11" t="s">
        <v>432</v>
      </c>
      <c r="B286" s="47" t="s">
        <v>501</v>
      </c>
      <c r="C286" s="8" t="s">
        <v>688</v>
      </c>
      <c r="D286" s="8" t="s">
        <v>615</v>
      </c>
      <c r="E286" s="8" t="s">
        <v>689</v>
      </c>
      <c r="F286" s="8"/>
      <c r="G286" s="8"/>
      <c r="H286" s="10">
        <v>9.5</v>
      </c>
      <c r="I286" s="54">
        <f>VLOOKUP(A286,İstasyonlar!$A$2:$D$776,4,0)</f>
        <v>999999999</v>
      </c>
      <c r="J286" s="54">
        <f t="shared" si="9"/>
        <v>74</v>
      </c>
      <c r="K286" t="str">
        <f t="shared" si="8"/>
        <v>Sabit</v>
      </c>
    </row>
    <row r="287" spans="1:11" x14ac:dyDescent="0.3">
      <c r="A287" s="11" t="s">
        <v>435</v>
      </c>
      <c r="B287" s="47" t="s">
        <v>512</v>
      </c>
      <c r="C287" s="8" t="s">
        <v>693</v>
      </c>
      <c r="D287" s="8" t="s">
        <v>694</v>
      </c>
      <c r="E287" s="8"/>
      <c r="F287" s="8" t="s">
        <v>615</v>
      </c>
      <c r="G287" s="8" t="s">
        <v>614</v>
      </c>
      <c r="H287" s="10">
        <v>2.5</v>
      </c>
      <c r="I287" s="54">
        <f>VLOOKUP(A287,İstasyonlar!$A$2:$D$776,4,0)</f>
        <v>999999999</v>
      </c>
      <c r="J287" s="54">
        <f t="shared" si="9"/>
        <v>75</v>
      </c>
      <c r="K287" t="str">
        <f t="shared" si="8"/>
        <v>Sabit</v>
      </c>
    </row>
    <row r="288" spans="1:11" x14ac:dyDescent="0.3">
      <c r="A288" s="11" t="s">
        <v>435</v>
      </c>
      <c r="B288" s="47" t="s">
        <v>513</v>
      </c>
      <c r="C288" s="8" t="s">
        <v>693</v>
      </c>
      <c r="D288" s="8" t="s">
        <v>694</v>
      </c>
      <c r="E288" s="8"/>
      <c r="F288" s="8" t="s">
        <v>615</v>
      </c>
      <c r="G288" s="8" t="s">
        <v>614</v>
      </c>
      <c r="H288" s="10">
        <v>3.2</v>
      </c>
      <c r="I288" s="54">
        <f>VLOOKUP(A288,İstasyonlar!$A$2:$D$776,4,0)</f>
        <v>999999999</v>
      </c>
      <c r="J288" s="54">
        <f t="shared" si="9"/>
        <v>75</v>
      </c>
      <c r="K288" t="str">
        <f t="shared" si="8"/>
        <v>Sabit</v>
      </c>
    </row>
    <row r="289" spans="1:11" x14ac:dyDescent="0.3">
      <c r="A289" s="11" t="s">
        <v>435</v>
      </c>
      <c r="B289" s="47" t="s">
        <v>514</v>
      </c>
      <c r="C289" s="8" t="s">
        <v>693</v>
      </c>
      <c r="D289" s="8" t="s">
        <v>694</v>
      </c>
      <c r="E289" s="8"/>
      <c r="F289" s="8" t="s">
        <v>615</v>
      </c>
      <c r="G289" s="8" t="s">
        <v>614</v>
      </c>
      <c r="H289" s="10">
        <v>3.2</v>
      </c>
      <c r="I289" s="54">
        <f>VLOOKUP(A289,İstasyonlar!$A$2:$D$776,4,0)</f>
        <v>999999999</v>
      </c>
      <c r="J289" s="54">
        <f t="shared" si="9"/>
        <v>75</v>
      </c>
      <c r="K289" t="str">
        <f t="shared" si="8"/>
        <v>Sabit</v>
      </c>
    </row>
    <row r="290" spans="1:11" x14ac:dyDescent="0.3">
      <c r="A290" s="11" t="s">
        <v>435</v>
      </c>
      <c r="B290" s="47" t="s">
        <v>515</v>
      </c>
      <c r="C290" s="8" t="s">
        <v>693</v>
      </c>
      <c r="D290" s="8" t="s">
        <v>694</v>
      </c>
      <c r="E290" s="8"/>
      <c r="F290" s="8" t="s">
        <v>615</v>
      </c>
      <c r="G290" s="8" t="s">
        <v>614</v>
      </c>
      <c r="H290" s="10">
        <v>3.2</v>
      </c>
      <c r="I290" s="54">
        <f>VLOOKUP(A290,İstasyonlar!$A$2:$D$776,4,0)</f>
        <v>999999999</v>
      </c>
      <c r="J290" s="54">
        <f t="shared" si="9"/>
        <v>75</v>
      </c>
      <c r="K290" t="str">
        <f t="shared" si="8"/>
        <v>Sabit</v>
      </c>
    </row>
    <row r="291" spans="1:11" x14ac:dyDescent="0.3">
      <c r="A291" s="11" t="s">
        <v>435</v>
      </c>
      <c r="B291" s="47" t="s">
        <v>516</v>
      </c>
      <c r="C291" s="8" t="s">
        <v>693</v>
      </c>
      <c r="D291" s="8" t="s">
        <v>694</v>
      </c>
      <c r="E291" s="8"/>
      <c r="F291" s="8" t="s">
        <v>615</v>
      </c>
      <c r="G291" s="8" t="s">
        <v>614</v>
      </c>
      <c r="H291" s="10">
        <v>3.2</v>
      </c>
      <c r="I291" s="54">
        <f>VLOOKUP(A291,İstasyonlar!$A$2:$D$776,4,0)</f>
        <v>999999999</v>
      </c>
      <c r="J291" s="54">
        <f t="shared" si="9"/>
        <v>75</v>
      </c>
      <c r="K291" t="str">
        <f t="shared" si="8"/>
        <v>Sabit</v>
      </c>
    </row>
    <row r="292" spans="1:11" x14ac:dyDescent="0.3">
      <c r="A292" s="11" t="s">
        <v>435</v>
      </c>
      <c r="B292" s="47" t="s">
        <v>517</v>
      </c>
      <c r="C292" s="8" t="s">
        <v>693</v>
      </c>
      <c r="D292" s="8" t="s">
        <v>694</v>
      </c>
      <c r="E292" s="8"/>
      <c r="F292" s="8" t="s">
        <v>615</v>
      </c>
      <c r="G292" s="8" t="s">
        <v>614</v>
      </c>
      <c r="H292" s="10">
        <v>3.8</v>
      </c>
      <c r="I292" s="54">
        <f>VLOOKUP(A292,İstasyonlar!$A$2:$D$776,4,0)</f>
        <v>999999999</v>
      </c>
      <c r="J292" s="54">
        <f t="shared" si="9"/>
        <v>75</v>
      </c>
      <c r="K292" t="str">
        <f t="shared" si="8"/>
        <v>Sabit</v>
      </c>
    </row>
    <row r="293" spans="1:11" x14ac:dyDescent="0.3">
      <c r="A293" s="11" t="s">
        <v>457</v>
      </c>
      <c r="B293" s="48" t="s">
        <v>544</v>
      </c>
      <c r="C293" s="8" t="s">
        <v>721</v>
      </c>
      <c r="D293" s="8" t="s">
        <v>722</v>
      </c>
      <c r="E293" s="8" t="s">
        <v>719</v>
      </c>
      <c r="F293" s="8"/>
      <c r="G293" s="8"/>
      <c r="H293" s="10">
        <v>5.9</v>
      </c>
      <c r="I293" s="54">
        <f>VLOOKUP(A293,İstasyonlar!$A$2:$D$776,4,0)</f>
        <v>999999999</v>
      </c>
      <c r="J293" s="54">
        <f t="shared" si="9"/>
        <v>76</v>
      </c>
      <c r="K293" t="str">
        <f t="shared" si="8"/>
        <v>Sabit</v>
      </c>
    </row>
    <row r="294" spans="1:11" x14ac:dyDescent="0.3">
      <c r="A294" s="11" t="s">
        <v>457</v>
      </c>
      <c r="B294" s="48" t="s">
        <v>545</v>
      </c>
      <c r="C294" s="8" t="s">
        <v>721</v>
      </c>
      <c r="D294" s="8" t="s">
        <v>722</v>
      </c>
      <c r="E294" s="8" t="s">
        <v>719</v>
      </c>
      <c r="F294" s="8"/>
      <c r="G294" s="8"/>
      <c r="H294" s="10">
        <v>3.6</v>
      </c>
      <c r="I294" s="54">
        <f>VLOOKUP(A294,İstasyonlar!$A$2:$D$776,4,0)</f>
        <v>999999999</v>
      </c>
      <c r="J294" s="54">
        <f t="shared" si="9"/>
        <v>76</v>
      </c>
      <c r="K294" t="str">
        <f t="shared" si="8"/>
        <v>Sabit</v>
      </c>
    </row>
    <row r="295" spans="1:11" x14ac:dyDescent="0.3">
      <c r="A295" s="11" t="s">
        <v>457</v>
      </c>
      <c r="B295" s="48" t="s">
        <v>546</v>
      </c>
      <c r="C295" s="8" t="s">
        <v>721</v>
      </c>
      <c r="D295" s="8" t="s">
        <v>722</v>
      </c>
      <c r="E295" s="8" t="s">
        <v>719</v>
      </c>
      <c r="F295" s="8"/>
      <c r="G295" s="8"/>
      <c r="H295" s="10">
        <v>3.6</v>
      </c>
      <c r="I295" s="54">
        <f>VLOOKUP(A295,İstasyonlar!$A$2:$D$776,4,0)</f>
        <v>999999999</v>
      </c>
      <c r="J295" s="54">
        <f t="shared" si="9"/>
        <v>76</v>
      </c>
      <c r="K295" t="str">
        <f t="shared" si="8"/>
        <v>Sabit</v>
      </c>
    </row>
    <row r="296" spans="1:11" x14ac:dyDescent="0.3">
      <c r="A296" s="11" t="s">
        <v>458</v>
      </c>
      <c r="B296" s="48" t="s">
        <v>550</v>
      </c>
      <c r="C296" s="8" t="s">
        <v>722</v>
      </c>
      <c r="D296" s="8" t="s">
        <v>721</v>
      </c>
      <c r="E296" s="8" t="s">
        <v>720</v>
      </c>
      <c r="F296" s="8" t="s">
        <v>719</v>
      </c>
      <c r="G296" s="8"/>
      <c r="H296" s="10">
        <v>4.2</v>
      </c>
      <c r="I296" s="54">
        <f>VLOOKUP(A296,İstasyonlar!$A$2:$D$776,4,0)</f>
        <v>999999999</v>
      </c>
      <c r="J296" s="54">
        <f t="shared" si="9"/>
        <v>77</v>
      </c>
      <c r="K296" t="str">
        <f t="shared" si="8"/>
        <v>Sabit</v>
      </c>
    </row>
    <row r="297" spans="1:11" x14ac:dyDescent="0.3">
      <c r="A297" s="11" t="s">
        <v>458</v>
      </c>
      <c r="B297" s="48" t="s">
        <v>551</v>
      </c>
      <c r="C297" s="8" t="s">
        <v>722</v>
      </c>
      <c r="D297" s="8" t="s">
        <v>721</v>
      </c>
      <c r="E297" s="8" t="s">
        <v>720</v>
      </c>
      <c r="F297" s="8" t="s">
        <v>719</v>
      </c>
      <c r="G297" s="8"/>
      <c r="H297" s="10">
        <v>4.2</v>
      </c>
      <c r="I297" s="54">
        <f>VLOOKUP(A297,İstasyonlar!$A$2:$D$776,4,0)</f>
        <v>999999999</v>
      </c>
      <c r="J297" s="54">
        <f t="shared" si="9"/>
        <v>77</v>
      </c>
      <c r="K297" t="str">
        <f t="shared" si="8"/>
        <v>Sabit</v>
      </c>
    </row>
    <row r="298" spans="1:11" x14ac:dyDescent="0.3">
      <c r="A298" s="11" t="s">
        <v>458</v>
      </c>
      <c r="B298" s="48" t="s">
        <v>552</v>
      </c>
      <c r="C298" s="8" t="s">
        <v>722</v>
      </c>
      <c r="D298" s="8" t="s">
        <v>721</v>
      </c>
      <c r="E298" s="8" t="s">
        <v>720</v>
      </c>
      <c r="F298" s="8" t="s">
        <v>719</v>
      </c>
      <c r="G298" s="8"/>
      <c r="H298" s="10">
        <v>3.1</v>
      </c>
      <c r="I298" s="54">
        <f>VLOOKUP(A298,İstasyonlar!$A$2:$D$776,4,0)</f>
        <v>999999999</v>
      </c>
      <c r="J298" s="54">
        <f t="shared" si="9"/>
        <v>77</v>
      </c>
      <c r="K298" t="str">
        <f t="shared" si="8"/>
        <v>Sabit</v>
      </c>
    </row>
    <row r="299" spans="1:11" x14ac:dyDescent="0.3">
      <c r="A299" s="11" t="s">
        <v>459</v>
      </c>
      <c r="B299" s="48" t="s">
        <v>553</v>
      </c>
      <c r="C299" s="8" t="s">
        <v>719</v>
      </c>
      <c r="D299" s="8" t="s">
        <v>720</v>
      </c>
      <c r="E299" s="8"/>
      <c r="F299" s="8"/>
      <c r="G299" s="8"/>
      <c r="H299" s="10">
        <v>5.9</v>
      </c>
      <c r="I299" s="54">
        <f>VLOOKUP(A299,İstasyonlar!$A$2:$D$776,4,0)</f>
        <v>999999999</v>
      </c>
      <c r="J299" s="54">
        <f t="shared" si="9"/>
        <v>78</v>
      </c>
      <c r="K299" t="str">
        <f t="shared" si="8"/>
        <v>Sabit</v>
      </c>
    </row>
    <row r="300" spans="1:11" x14ac:dyDescent="0.3">
      <c r="A300" s="11" t="s">
        <v>459</v>
      </c>
      <c r="B300" s="48" t="s">
        <v>554</v>
      </c>
      <c r="C300" s="8" t="s">
        <v>719</v>
      </c>
      <c r="D300" s="8" t="s">
        <v>720</v>
      </c>
      <c r="E300" s="8"/>
      <c r="F300" s="8"/>
      <c r="G300" s="8"/>
      <c r="H300" s="10">
        <v>1.8</v>
      </c>
      <c r="I300" s="54">
        <f>VLOOKUP(A300,İstasyonlar!$A$2:$D$776,4,0)</f>
        <v>999999999</v>
      </c>
      <c r="J300" s="54">
        <f t="shared" si="9"/>
        <v>78</v>
      </c>
      <c r="K300" t="str">
        <f t="shared" si="8"/>
        <v>Sabit</v>
      </c>
    </row>
    <row r="301" spans="1:11" x14ac:dyDescent="0.3">
      <c r="A301" s="11" t="s">
        <v>459</v>
      </c>
      <c r="B301" s="48" t="s">
        <v>555</v>
      </c>
      <c r="C301" s="8" t="s">
        <v>719</v>
      </c>
      <c r="D301" s="8" t="s">
        <v>720</v>
      </c>
      <c r="E301" s="8"/>
      <c r="F301" s="8"/>
      <c r="G301" s="8"/>
      <c r="H301" s="10">
        <v>2.9</v>
      </c>
      <c r="I301" s="54">
        <f>VLOOKUP(A301,İstasyonlar!$A$2:$D$776,4,0)</f>
        <v>999999999</v>
      </c>
      <c r="J301" s="54">
        <f t="shared" si="9"/>
        <v>78</v>
      </c>
      <c r="K301" t="str">
        <f t="shared" si="8"/>
        <v>Sabit</v>
      </c>
    </row>
    <row r="302" spans="1:11" x14ac:dyDescent="0.3">
      <c r="A302" s="11" t="s">
        <v>459</v>
      </c>
      <c r="B302" s="48" t="s">
        <v>556</v>
      </c>
      <c r="C302" s="8" t="s">
        <v>719</v>
      </c>
      <c r="D302" s="8" t="s">
        <v>720</v>
      </c>
      <c r="E302" s="8"/>
      <c r="F302" s="8"/>
      <c r="G302" s="8"/>
      <c r="H302" s="10">
        <v>0.5</v>
      </c>
      <c r="I302" s="54">
        <f>VLOOKUP(A302,İstasyonlar!$A$2:$D$776,4,0)</f>
        <v>999999999</v>
      </c>
      <c r="J302" s="54">
        <f t="shared" si="9"/>
        <v>78</v>
      </c>
      <c r="K302" t="str">
        <f t="shared" si="8"/>
        <v>Sabit</v>
      </c>
    </row>
    <row r="303" spans="1:11" x14ac:dyDescent="0.3">
      <c r="A303" s="11" t="s">
        <v>460</v>
      </c>
      <c r="B303" s="48" t="s">
        <v>557</v>
      </c>
      <c r="C303" s="8" t="s">
        <v>720</v>
      </c>
      <c r="D303" s="8" t="s">
        <v>719</v>
      </c>
      <c r="E303" s="8"/>
      <c r="F303" s="8"/>
      <c r="G303" s="8"/>
      <c r="H303" s="10">
        <v>3.6</v>
      </c>
      <c r="I303" s="54">
        <f>VLOOKUP(A303,İstasyonlar!$A$2:$D$776,4,0)</f>
        <v>999999999</v>
      </c>
      <c r="J303" s="54">
        <f t="shared" si="9"/>
        <v>79</v>
      </c>
      <c r="K303" t="str">
        <f t="shared" si="8"/>
        <v>Sabit</v>
      </c>
    </row>
    <row r="304" spans="1:11" x14ac:dyDescent="0.3">
      <c r="A304" s="11" t="s">
        <v>460</v>
      </c>
      <c r="B304" s="48" t="s">
        <v>558</v>
      </c>
      <c r="C304" s="8" t="s">
        <v>720</v>
      </c>
      <c r="D304" s="8" t="s">
        <v>719</v>
      </c>
      <c r="E304" s="8"/>
      <c r="F304" s="8"/>
      <c r="G304" s="8"/>
      <c r="H304" s="10">
        <v>4.2</v>
      </c>
      <c r="I304" s="54">
        <f>VLOOKUP(A304,İstasyonlar!$A$2:$D$776,4,0)</f>
        <v>999999999</v>
      </c>
      <c r="J304" s="54">
        <f t="shared" si="9"/>
        <v>79</v>
      </c>
      <c r="K304" t="str">
        <f t="shared" si="8"/>
        <v>Sabit</v>
      </c>
    </row>
    <row r="305" spans="1:11" x14ac:dyDescent="0.3">
      <c r="A305" s="11" t="s">
        <v>460</v>
      </c>
      <c r="B305" s="48" t="s">
        <v>559</v>
      </c>
      <c r="C305" s="8" t="s">
        <v>720</v>
      </c>
      <c r="D305" s="8" t="s">
        <v>719</v>
      </c>
      <c r="E305" s="8"/>
      <c r="F305" s="8"/>
      <c r="G305" s="8"/>
      <c r="H305" s="10">
        <v>2.2999999999999998</v>
      </c>
      <c r="I305" s="54">
        <f>VLOOKUP(A305,İstasyonlar!$A$2:$D$776,4,0)</f>
        <v>999999999</v>
      </c>
      <c r="J305" s="54">
        <f t="shared" si="9"/>
        <v>79</v>
      </c>
      <c r="K305" t="str">
        <f t="shared" si="8"/>
        <v>Sabit</v>
      </c>
    </row>
    <row r="306" spans="1:11" x14ac:dyDescent="0.3">
      <c r="A306"/>
      <c r="B306"/>
      <c r="C306"/>
      <c r="D306"/>
      <c r="E306"/>
      <c r="F306"/>
      <c r="G306"/>
    </row>
    <row r="307" spans="1:11" x14ac:dyDescent="0.3">
      <c r="A307"/>
      <c r="B307"/>
      <c r="C307"/>
      <c r="D307"/>
      <c r="E307"/>
      <c r="F307"/>
      <c r="G307"/>
    </row>
    <row r="308" spans="1:11" x14ac:dyDescent="0.3">
      <c r="A308"/>
      <c r="B308"/>
      <c r="C308"/>
      <c r="D308"/>
      <c r="E308"/>
      <c r="F308"/>
      <c r="G308"/>
    </row>
    <row r="309" spans="1:11" x14ac:dyDescent="0.3">
      <c r="A309"/>
      <c r="B309"/>
      <c r="C309"/>
      <c r="D309"/>
      <c r="E309"/>
      <c r="F309"/>
      <c r="G309"/>
    </row>
    <row r="310" spans="1:11" x14ac:dyDescent="0.3">
      <c r="A310"/>
      <c r="B310"/>
      <c r="C310"/>
      <c r="D310"/>
      <c r="E310"/>
      <c r="F310"/>
      <c r="G310"/>
    </row>
    <row r="311" spans="1:11" x14ac:dyDescent="0.3">
      <c r="A311"/>
      <c r="B311"/>
      <c r="C311"/>
      <c r="D311"/>
      <c r="E311"/>
      <c r="F311"/>
      <c r="G311"/>
    </row>
    <row r="312" spans="1:11" x14ac:dyDescent="0.3">
      <c r="A312"/>
      <c r="B312"/>
      <c r="C312"/>
      <c r="D312"/>
      <c r="E312"/>
      <c r="F312"/>
      <c r="G312"/>
    </row>
    <row r="313" spans="1:11" x14ac:dyDescent="0.3">
      <c r="A313"/>
      <c r="B313"/>
      <c r="C313"/>
      <c r="D313"/>
      <c r="E313"/>
      <c r="F313"/>
      <c r="G313"/>
    </row>
    <row r="314" spans="1:11" x14ac:dyDescent="0.3">
      <c r="A314"/>
      <c r="B314"/>
      <c r="C314"/>
      <c r="D314"/>
      <c r="E314"/>
      <c r="F314"/>
      <c r="G314"/>
    </row>
    <row r="315" spans="1:11" x14ac:dyDescent="0.3">
      <c r="A315"/>
      <c r="B315"/>
      <c r="C315"/>
      <c r="D315"/>
      <c r="E315"/>
      <c r="F315"/>
      <c r="G315"/>
    </row>
    <row r="316" spans="1:11" x14ac:dyDescent="0.3">
      <c r="A316"/>
      <c r="B316"/>
      <c r="C316"/>
      <c r="D316"/>
      <c r="E316"/>
      <c r="F316"/>
      <c r="G316"/>
    </row>
    <row r="317" spans="1:11" x14ac:dyDescent="0.3">
      <c r="A317"/>
      <c r="B317"/>
      <c r="C317"/>
      <c r="D317"/>
      <c r="E317"/>
      <c r="F317"/>
      <c r="G317"/>
    </row>
    <row r="318" spans="1:11" x14ac:dyDescent="0.3">
      <c r="A318"/>
      <c r="B318"/>
      <c r="C318"/>
      <c r="D318"/>
      <c r="E318"/>
      <c r="F318"/>
      <c r="G318"/>
    </row>
    <row r="319" spans="1:11" x14ac:dyDescent="0.3">
      <c r="A319"/>
      <c r="B319"/>
      <c r="C319"/>
      <c r="D319"/>
      <c r="E319"/>
      <c r="F319"/>
      <c r="G319"/>
    </row>
    <row r="320" spans="1:11" x14ac:dyDescent="0.3">
      <c r="A320"/>
      <c r="B320"/>
      <c r="C320"/>
      <c r="D320"/>
      <c r="E320"/>
      <c r="F320"/>
      <c r="G320"/>
    </row>
    <row r="321" customFormat="1" x14ac:dyDescent="0.3"/>
    <row r="322" customFormat="1" x14ac:dyDescent="0.3"/>
    <row r="323" customFormat="1" x14ac:dyDescent="0.3"/>
    <row r="324" customFormat="1" x14ac:dyDescent="0.3"/>
    <row r="409" spans="2:2" x14ac:dyDescent="0.3">
      <c r="B409"/>
    </row>
    <row r="410" spans="2:2" x14ac:dyDescent="0.3">
      <c r="B410"/>
    </row>
    <row r="411" spans="2:2" x14ac:dyDescent="0.3">
      <c r="B411"/>
    </row>
    <row r="412" spans="2:2" x14ac:dyDescent="0.3">
      <c r="B412"/>
    </row>
    <row r="413" spans="2:2" x14ac:dyDescent="0.3">
      <c r="B413"/>
    </row>
    <row r="414" spans="2:2" x14ac:dyDescent="0.3">
      <c r="B414"/>
    </row>
    <row r="415" spans="2:2" x14ac:dyDescent="0.3">
      <c r="B415"/>
    </row>
    <row r="416" spans="2:2" x14ac:dyDescent="0.3">
      <c r="B416"/>
    </row>
    <row r="417" spans="2:2" x14ac:dyDescent="0.3">
      <c r="B417"/>
    </row>
    <row r="418" spans="2:2" x14ac:dyDescent="0.3">
      <c r="B418"/>
    </row>
    <row r="419" spans="2:2" x14ac:dyDescent="0.3">
      <c r="B419"/>
    </row>
    <row r="420" spans="2:2" x14ac:dyDescent="0.3">
      <c r="B420"/>
    </row>
    <row r="421" spans="2:2" x14ac:dyDescent="0.3">
      <c r="B421"/>
    </row>
    <row r="422" spans="2:2" x14ac:dyDescent="0.3">
      <c r="B422"/>
    </row>
    <row r="423" spans="2:2" x14ac:dyDescent="0.3">
      <c r="B423"/>
    </row>
    <row r="424" spans="2:2" x14ac:dyDescent="0.3">
      <c r="B424"/>
    </row>
    <row r="425" spans="2:2" x14ac:dyDescent="0.3">
      <c r="B425"/>
    </row>
    <row r="426" spans="2:2" x14ac:dyDescent="0.3">
      <c r="B426"/>
    </row>
    <row r="427" spans="2:2" x14ac:dyDescent="0.3">
      <c r="B427"/>
    </row>
    <row r="428" spans="2:2" x14ac:dyDescent="0.3">
      <c r="B428"/>
    </row>
    <row r="429" spans="2:2" x14ac:dyDescent="0.3">
      <c r="B429"/>
    </row>
    <row r="430" spans="2:2" x14ac:dyDescent="0.3">
      <c r="B430"/>
    </row>
    <row r="431" spans="2:2" x14ac:dyDescent="0.3">
      <c r="B431"/>
    </row>
    <row r="432" spans="2:2" x14ac:dyDescent="0.3">
      <c r="B432"/>
    </row>
    <row r="433" spans="2:2" x14ac:dyDescent="0.3">
      <c r="B433"/>
    </row>
    <row r="434" spans="2:2" x14ac:dyDescent="0.3">
      <c r="B434"/>
    </row>
    <row r="435" spans="2:2" x14ac:dyDescent="0.3">
      <c r="B435"/>
    </row>
    <row r="436" spans="2:2" x14ac:dyDescent="0.3">
      <c r="B436"/>
    </row>
    <row r="437" spans="2:2" x14ac:dyDescent="0.3">
      <c r="B437"/>
    </row>
    <row r="438" spans="2:2" x14ac:dyDescent="0.3">
      <c r="B438"/>
    </row>
    <row r="439" spans="2:2" x14ac:dyDescent="0.3">
      <c r="B439"/>
    </row>
    <row r="440" spans="2:2" x14ac:dyDescent="0.3">
      <c r="B440"/>
    </row>
    <row r="441" spans="2:2" x14ac:dyDescent="0.3">
      <c r="B441"/>
    </row>
    <row r="442" spans="2:2" x14ac:dyDescent="0.3">
      <c r="B442"/>
    </row>
    <row r="443" spans="2:2" x14ac:dyDescent="0.3">
      <c r="B443"/>
    </row>
    <row r="444" spans="2:2" x14ac:dyDescent="0.3">
      <c r="B444"/>
    </row>
    <row r="445" spans="2:2" x14ac:dyDescent="0.3">
      <c r="B445"/>
    </row>
    <row r="446" spans="2:2" x14ac:dyDescent="0.3">
      <c r="B446"/>
    </row>
    <row r="447" spans="2:2" x14ac:dyDescent="0.3">
      <c r="B447"/>
    </row>
    <row r="448" spans="2:2" x14ac:dyDescent="0.3">
      <c r="B448"/>
    </row>
    <row r="449" spans="2:2" x14ac:dyDescent="0.3">
      <c r="B449"/>
    </row>
    <row r="450" spans="2:2" x14ac:dyDescent="0.3">
      <c r="B450"/>
    </row>
    <row r="451" spans="2:2" x14ac:dyDescent="0.3">
      <c r="B451"/>
    </row>
    <row r="452" spans="2:2" x14ac:dyDescent="0.3">
      <c r="B452"/>
    </row>
    <row r="453" spans="2:2" x14ac:dyDescent="0.3">
      <c r="B453"/>
    </row>
    <row r="454" spans="2:2" x14ac:dyDescent="0.3">
      <c r="B454"/>
    </row>
    <row r="455" spans="2:2" x14ac:dyDescent="0.3">
      <c r="B455"/>
    </row>
    <row r="456" spans="2:2" x14ac:dyDescent="0.3">
      <c r="B456"/>
    </row>
    <row r="457" spans="2:2" x14ac:dyDescent="0.3">
      <c r="B457"/>
    </row>
    <row r="458" spans="2:2" x14ac:dyDescent="0.3">
      <c r="B458"/>
    </row>
    <row r="459" spans="2:2" x14ac:dyDescent="0.3">
      <c r="B459"/>
    </row>
    <row r="460" spans="2:2" x14ac:dyDescent="0.3">
      <c r="B460"/>
    </row>
    <row r="461" spans="2:2" x14ac:dyDescent="0.3">
      <c r="B461"/>
    </row>
    <row r="462" spans="2:2" x14ac:dyDescent="0.3">
      <c r="B462"/>
    </row>
    <row r="463" spans="2:2" x14ac:dyDescent="0.3">
      <c r="B463"/>
    </row>
    <row r="464" spans="2:2" x14ac:dyDescent="0.3">
      <c r="B464"/>
    </row>
    <row r="465" spans="2:2" x14ac:dyDescent="0.3">
      <c r="B465"/>
    </row>
    <row r="466" spans="2:2" x14ac:dyDescent="0.3">
      <c r="B466"/>
    </row>
    <row r="467" spans="2:2" x14ac:dyDescent="0.3">
      <c r="B467"/>
    </row>
    <row r="468" spans="2:2" x14ac:dyDescent="0.3">
      <c r="B468"/>
    </row>
    <row r="469" spans="2:2" x14ac:dyDescent="0.3">
      <c r="B469"/>
    </row>
    <row r="470" spans="2:2" x14ac:dyDescent="0.3">
      <c r="B470"/>
    </row>
    <row r="471" spans="2:2" x14ac:dyDescent="0.3">
      <c r="B471"/>
    </row>
    <row r="472" spans="2:2" x14ac:dyDescent="0.3">
      <c r="B472"/>
    </row>
    <row r="473" spans="2:2" x14ac:dyDescent="0.3">
      <c r="B473"/>
    </row>
    <row r="474" spans="2:2" x14ac:dyDescent="0.3">
      <c r="B474"/>
    </row>
    <row r="475" spans="2:2" x14ac:dyDescent="0.3">
      <c r="B475"/>
    </row>
    <row r="476" spans="2:2" x14ac:dyDescent="0.3">
      <c r="B476"/>
    </row>
    <row r="477" spans="2:2" x14ac:dyDescent="0.3">
      <c r="B477"/>
    </row>
    <row r="478" spans="2:2" x14ac:dyDescent="0.3">
      <c r="B478"/>
    </row>
    <row r="479" spans="2:2" x14ac:dyDescent="0.3">
      <c r="B479"/>
    </row>
    <row r="480" spans="2:2" x14ac:dyDescent="0.3">
      <c r="B480"/>
    </row>
    <row r="481" spans="2:2" x14ac:dyDescent="0.3">
      <c r="B481"/>
    </row>
    <row r="482" spans="2:2" x14ac:dyDescent="0.3">
      <c r="B482"/>
    </row>
    <row r="483" spans="2:2" x14ac:dyDescent="0.3">
      <c r="B483"/>
    </row>
    <row r="484" spans="2:2" x14ac:dyDescent="0.3">
      <c r="B484"/>
    </row>
    <row r="485" spans="2:2" x14ac:dyDescent="0.3">
      <c r="B485"/>
    </row>
    <row r="486" spans="2:2" x14ac:dyDescent="0.3">
      <c r="B486"/>
    </row>
    <row r="487" spans="2:2" x14ac:dyDescent="0.3">
      <c r="B487"/>
    </row>
    <row r="488" spans="2:2" x14ac:dyDescent="0.3">
      <c r="B488"/>
    </row>
    <row r="489" spans="2:2" x14ac:dyDescent="0.3">
      <c r="B489"/>
    </row>
    <row r="490" spans="2:2" x14ac:dyDescent="0.3">
      <c r="B490"/>
    </row>
    <row r="491" spans="2:2" x14ac:dyDescent="0.3">
      <c r="B491"/>
    </row>
    <row r="492" spans="2:2" x14ac:dyDescent="0.3">
      <c r="B492"/>
    </row>
    <row r="493" spans="2:2" x14ac:dyDescent="0.3">
      <c r="B493"/>
    </row>
    <row r="494" spans="2:2" x14ac:dyDescent="0.3">
      <c r="B494"/>
    </row>
    <row r="495" spans="2:2" x14ac:dyDescent="0.3">
      <c r="B495"/>
    </row>
    <row r="496" spans="2:2" x14ac:dyDescent="0.3">
      <c r="B496"/>
    </row>
    <row r="497" spans="2:2" x14ac:dyDescent="0.3">
      <c r="B497"/>
    </row>
    <row r="498" spans="2:2" x14ac:dyDescent="0.3">
      <c r="B498"/>
    </row>
    <row r="499" spans="2:2" x14ac:dyDescent="0.3">
      <c r="B499"/>
    </row>
    <row r="500" spans="2:2" x14ac:dyDescent="0.3">
      <c r="B500"/>
    </row>
    <row r="501" spans="2:2" x14ac:dyDescent="0.3">
      <c r="B501"/>
    </row>
    <row r="502" spans="2:2" x14ac:dyDescent="0.3">
      <c r="B502"/>
    </row>
    <row r="503" spans="2:2" x14ac:dyDescent="0.3">
      <c r="B503"/>
    </row>
    <row r="504" spans="2:2" x14ac:dyDescent="0.3">
      <c r="B504"/>
    </row>
    <row r="505" spans="2:2" x14ac:dyDescent="0.3">
      <c r="B505"/>
    </row>
    <row r="506" spans="2:2" x14ac:dyDescent="0.3">
      <c r="B506"/>
    </row>
    <row r="507" spans="2:2" x14ac:dyDescent="0.3">
      <c r="B507"/>
    </row>
    <row r="508" spans="2:2" x14ac:dyDescent="0.3">
      <c r="B508"/>
    </row>
    <row r="509" spans="2:2" x14ac:dyDescent="0.3">
      <c r="B509"/>
    </row>
    <row r="510" spans="2:2" x14ac:dyDescent="0.3">
      <c r="B510"/>
    </row>
    <row r="511" spans="2:2" x14ac:dyDescent="0.3">
      <c r="B511"/>
    </row>
    <row r="512" spans="2:2" x14ac:dyDescent="0.3">
      <c r="B512"/>
    </row>
    <row r="513" spans="2:2" x14ac:dyDescent="0.3">
      <c r="B513"/>
    </row>
    <row r="514" spans="2:2" x14ac:dyDescent="0.3">
      <c r="B514"/>
    </row>
    <row r="515" spans="2:2" x14ac:dyDescent="0.3">
      <c r="B515"/>
    </row>
    <row r="516" spans="2:2" x14ac:dyDescent="0.3">
      <c r="B516"/>
    </row>
    <row r="517" spans="2:2" x14ac:dyDescent="0.3">
      <c r="B517"/>
    </row>
    <row r="518" spans="2:2" x14ac:dyDescent="0.3">
      <c r="B518"/>
    </row>
    <row r="519" spans="2:2" x14ac:dyDescent="0.3">
      <c r="B519"/>
    </row>
    <row r="520" spans="2:2" x14ac:dyDescent="0.3">
      <c r="B520"/>
    </row>
    <row r="521" spans="2:2" x14ac:dyDescent="0.3">
      <c r="B521"/>
    </row>
    <row r="522" spans="2:2" x14ac:dyDescent="0.3">
      <c r="B522"/>
    </row>
    <row r="523" spans="2:2" x14ac:dyDescent="0.3">
      <c r="B523"/>
    </row>
    <row r="524" spans="2:2" x14ac:dyDescent="0.3">
      <c r="B524"/>
    </row>
    <row r="525" spans="2:2" x14ac:dyDescent="0.3">
      <c r="B525"/>
    </row>
    <row r="526" spans="2:2" x14ac:dyDescent="0.3">
      <c r="B526"/>
    </row>
    <row r="527" spans="2:2" x14ac:dyDescent="0.3">
      <c r="B527"/>
    </row>
    <row r="528" spans="2:2" x14ac:dyDescent="0.3">
      <c r="B528"/>
    </row>
    <row r="529" spans="2:2" x14ac:dyDescent="0.3">
      <c r="B529"/>
    </row>
    <row r="530" spans="2:2" x14ac:dyDescent="0.3">
      <c r="B530"/>
    </row>
    <row r="531" spans="2:2" x14ac:dyDescent="0.3">
      <c r="B531"/>
    </row>
    <row r="532" spans="2:2" x14ac:dyDescent="0.3">
      <c r="B532"/>
    </row>
    <row r="533" spans="2:2" x14ac:dyDescent="0.3">
      <c r="B533"/>
    </row>
    <row r="534" spans="2:2" x14ac:dyDescent="0.3">
      <c r="B534"/>
    </row>
    <row r="535" spans="2:2" x14ac:dyDescent="0.3">
      <c r="B535"/>
    </row>
    <row r="536" spans="2:2" x14ac:dyDescent="0.3">
      <c r="B536"/>
    </row>
    <row r="537" spans="2:2" x14ac:dyDescent="0.3">
      <c r="B537"/>
    </row>
    <row r="538" spans="2:2" x14ac:dyDescent="0.3">
      <c r="B538"/>
    </row>
    <row r="539" spans="2:2" x14ac:dyDescent="0.3">
      <c r="B539"/>
    </row>
    <row r="540" spans="2:2" x14ac:dyDescent="0.3">
      <c r="B540"/>
    </row>
    <row r="541" spans="2:2" x14ac:dyDescent="0.3">
      <c r="B541"/>
    </row>
    <row r="542" spans="2:2" x14ac:dyDescent="0.3">
      <c r="B542"/>
    </row>
    <row r="543" spans="2:2" x14ac:dyDescent="0.3">
      <c r="B543"/>
    </row>
    <row r="544" spans="2:2" x14ac:dyDescent="0.3">
      <c r="B544"/>
    </row>
    <row r="545" spans="2:2" x14ac:dyDescent="0.3">
      <c r="B545"/>
    </row>
    <row r="546" spans="2:2" x14ac:dyDescent="0.3">
      <c r="B546"/>
    </row>
    <row r="547" spans="2:2" x14ac:dyDescent="0.3">
      <c r="B547"/>
    </row>
    <row r="548" spans="2:2" x14ac:dyDescent="0.3">
      <c r="B548"/>
    </row>
    <row r="549" spans="2:2" x14ac:dyDescent="0.3">
      <c r="B549"/>
    </row>
    <row r="550" spans="2:2" x14ac:dyDescent="0.3">
      <c r="B550"/>
    </row>
    <row r="551" spans="2:2" x14ac:dyDescent="0.3">
      <c r="B551"/>
    </row>
    <row r="552" spans="2:2" x14ac:dyDescent="0.3">
      <c r="B552"/>
    </row>
    <row r="553" spans="2:2" x14ac:dyDescent="0.3">
      <c r="B553"/>
    </row>
    <row r="554" spans="2:2" x14ac:dyDescent="0.3">
      <c r="B554"/>
    </row>
    <row r="555" spans="2:2" x14ac:dyDescent="0.3">
      <c r="B555"/>
    </row>
    <row r="556" spans="2:2" x14ac:dyDescent="0.3">
      <c r="B556"/>
    </row>
    <row r="557" spans="2:2" x14ac:dyDescent="0.3">
      <c r="B557"/>
    </row>
    <row r="558" spans="2:2" x14ac:dyDescent="0.3">
      <c r="B558"/>
    </row>
    <row r="559" spans="2:2" x14ac:dyDescent="0.3">
      <c r="B559"/>
    </row>
    <row r="560" spans="2:2" x14ac:dyDescent="0.3">
      <c r="B560"/>
    </row>
    <row r="561" spans="2:2" x14ac:dyDescent="0.3">
      <c r="B561"/>
    </row>
    <row r="562" spans="2:2" x14ac:dyDescent="0.3">
      <c r="B562"/>
    </row>
    <row r="563" spans="2:2" x14ac:dyDescent="0.3">
      <c r="B563"/>
    </row>
    <row r="564" spans="2:2" x14ac:dyDescent="0.3">
      <c r="B564"/>
    </row>
    <row r="565" spans="2:2" x14ac:dyDescent="0.3">
      <c r="B565"/>
    </row>
    <row r="566" spans="2:2" x14ac:dyDescent="0.3">
      <c r="B566"/>
    </row>
    <row r="567" spans="2:2" x14ac:dyDescent="0.3">
      <c r="B567"/>
    </row>
    <row r="568" spans="2:2" x14ac:dyDescent="0.3">
      <c r="B568"/>
    </row>
    <row r="569" spans="2:2" x14ac:dyDescent="0.3">
      <c r="B569"/>
    </row>
    <row r="570" spans="2:2" x14ac:dyDescent="0.3">
      <c r="B570"/>
    </row>
    <row r="571" spans="2:2" x14ac:dyDescent="0.3">
      <c r="B571"/>
    </row>
    <row r="572" spans="2:2" x14ac:dyDescent="0.3">
      <c r="B572"/>
    </row>
    <row r="573" spans="2:2" x14ac:dyDescent="0.3">
      <c r="B573"/>
    </row>
    <row r="574" spans="2:2" x14ac:dyDescent="0.3">
      <c r="B574"/>
    </row>
    <row r="575" spans="2:2" x14ac:dyDescent="0.3">
      <c r="B575"/>
    </row>
    <row r="576" spans="2:2" x14ac:dyDescent="0.3">
      <c r="B576"/>
    </row>
    <row r="577" spans="2:2" x14ac:dyDescent="0.3">
      <c r="B577"/>
    </row>
    <row r="578" spans="2:2" x14ac:dyDescent="0.3">
      <c r="B578"/>
    </row>
    <row r="579" spans="2:2" x14ac:dyDescent="0.3">
      <c r="B579"/>
    </row>
    <row r="580" spans="2:2" x14ac:dyDescent="0.3">
      <c r="B580"/>
    </row>
    <row r="581" spans="2:2" x14ac:dyDescent="0.3">
      <c r="B581"/>
    </row>
    <row r="582" spans="2:2" x14ac:dyDescent="0.3">
      <c r="B582"/>
    </row>
    <row r="583" spans="2:2" x14ac:dyDescent="0.3">
      <c r="B583"/>
    </row>
    <row r="584" spans="2:2" x14ac:dyDescent="0.3">
      <c r="B584"/>
    </row>
    <row r="585" spans="2:2" x14ac:dyDescent="0.3">
      <c r="B585"/>
    </row>
    <row r="586" spans="2:2" x14ac:dyDescent="0.3">
      <c r="B586"/>
    </row>
    <row r="587" spans="2:2" x14ac:dyDescent="0.3">
      <c r="B587"/>
    </row>
    <row r="588" spans="2:2" x14ac:dyDescent="0.3">
      <c r="B588"/>
    </row>
    <row r="589" spans="2:2" x14ac:dyDescent="0.3">
      <c r="B589"/>
    </row>
    <row r="590" spans="2:2" x14ac:dyDescent="0.3">
      <c r="B590"/>
    </row>
    <row r="591" spans="2:2" x14ac:dyDescent="0.3">
      <c r="B591"/>
    </row>
    <row r="592" spans="2:2" x14ac:dyDescent="0.3">
      <c r="B592"/>
    </row>
    <row r="593" spans="2:2" x14ac:dyDescent="0.3">
      <c r="B593"/>
    </row>
    <row r="594" spans="2:2" x14ac:dyDescent="0.3">
      <c r="B594"/>
    </row>
    <row r="595" spans="2:2" x14ac:dyDescent="0.3">
      <c r="B595"/>
    </row>
    <row r="596" spans="2:2" x14ac:dyDescent="0.3">
      <c r="B596"/>
    </row>
    <row r="597" spans="2:2" x14ac:dyDescent="0.3">
      <c r="B597"/>
    </row>
    <row r="598" spans="2:2" x14ac:dyDescent="0.3">
      <c r="B598"/>
    </row>
    <row r="599" spans="2:2" x14ac:dyDescent="0.3">
      <c r="B599"/>
    </row>
    <row r="600" spans="2:2" x14ac:dyDescent="0.3">
      <c r="B600"/>
    </row>
    <row r="601" spans="2:2" x14ac:dyDescent="0.3">
      <c r="B601"/>
    </row>
    <row r="602" spans="2:2" x14ac:dyDescent="0.3">
      <c r="B602"/>
    </row>
    <row r="603" spans="2:2" x14ac:dyDescent="0.3">
      <c r="B603"/>
    </row>
    <row r="604" spans="2:2" x14ac:dyDescent="0.3">
      <c r="B604"/>
    </row>
    <row r="605" spans="2:2" x14ac:dyDescent="0.3">
      <c r="B605"/>
    </row>
    <row r="606" spans="2:2" x14ac:dyDescent="0.3">
      <c r="B606"/>
    </row>
    <row r="607" spans="2:2" x14ac:dyDescent="0.3">
      <c r="B607"/>
    </row>
    <row r="608" spans="2:2" x14ac:dyDescent="0.3">
      <c r="B608"/>
    </row>
    <row r="609" spans="2:2" x14ac:dyDescent="0.3">
      <c r="B609"/>
    </row>
    <row r="610" spans="2:2" x14ac:dyDescent="0.3">
      <c r="B610"/>
    </row>
    <row r="611" spans="2:2" x14ac:dyDescent="0.3">
      <c r="B611"/>
    </row>
    <row r="612" spans="2:2" x14ac:dyDescent="0.3">
      <c r="B612"/>
    </row>
    <row r="613" spans="2:2" x14ac:dyDescent="0.3">
      <c r="B613"/>
    </row>
    <row r="614" spans="2:2" x14ac:dyDescent="0.3">
      <c r="B614"/>
    </row>
    <row r="615" spans="2:2" x14ac:dyDescent="0.3">
      <c r="B615"/>
    </row>
    <row r="616" spans="2:2" x14ac:dyDescent="0.3">
      <c r="B616"/>
    </row>
    <row r="617" spans="2:2" x14ac:dyDescent="0.3">
      <c r="B617"/>
    </row>
    <row r="618" spans="2:2" x14ac:dyDescent="0.3">
      <c r="B618"/>
    </row>
    <row r="619" spans="2:2" x14ac:dyDescent="0.3">
      <c r="B619"/>
    </row>
    <row r="620" spans="2:2" x14ac:dyDescent="0.3">
      <c r="B620"/>
    </row>
    <row r="621" spans="2:2" x14ac:dyDescent="0.3">
      <c r="B621"/>
    </row>
    <row r="622" spans="2:2" x14ac:dyDescent="0.3">
      <c r="B622"/>
    </row>
    <row r="623" spans="2:2" x14ac:dyDescent="0.3">
      <c r="B623"/>
    </row>
    <row r="624" spans="2:2" x14ac:dyDescent="0.3">
      <c r="B624"/>
    </row>
    <row r="625" spans="2:2" x14ac:dyDescent="0.3">
      <c r="B625"/>
    </row>
    <row r="626" spans="2:2" x14ac:dyDescent="0.3">
      <c r="B626"/>
    </row>
    <row r="627" spans="2:2" x14ac:dyDescent="0.3">
      <c r="B627"/>
    </row>
    <row r="628" spans="2:2" x14ac:dyDescent="0.3">
      <c r="B628"/>
    </row>
    <row r="629" spans="2:2" x14ac:dyDescent="0.3">
      <c r="B629"/>
    </row>
    <row r="630" spans="2:2" x14ac:dyDescent="0.3">
      <c r="B630"/>
    </row>
    <row r="631" spans="2:2" x14ac:dyDescent="0.3">
      <c r="B631"/>
    </row>
    <row r="632" spans="2:2" x14ac:dyDescent="0.3">
      <c r="B632"/>
    </row>
    <row r="633" spans="2:2" x14ac:dyDescent="0.3">
      <c r="B633"/>
    </row>
    <row r="634" spans="2:2" x14ac:dyDescent="0.3">
      <c r="B634"/>
    </row>
    <row r="635" spans="2:2" x14ac:dyDescent="0.3">
      <c r="B635"/>
    </row>
    <row r="636" spans="2:2" x14ac:dyDescent="0.3">
      <c r="B636"/>
    </row>
    <row r="637" spans="2:2" x14ac:dyDescent="0.3">
      <c r="B637"/>
    </row>
    <row r="638" spans="2:2" x14ac:dyDescent="0.3">
      <c r="B638"/>
    </row>
    <row r="639" spans="2:2" x14ac:dyDescent="0.3">
      <c r="B639"/>
    </row>
    <row r="640" spans="2:2" x14ac:dyDescent="0.3">
      <c r="B640"/>
    </row>
    <row r="641" spans="2:2" x14ac:dyDescent="0.3">
      <c r="B641"/>
    </row>
    <row r="642" spans="2:2" x14ac:dyDescent="0.3">
      <c r="B642"/>
    </row>
    <row r="643" spans="2:2" x14ac:dyDescent="0.3">
      <c r="B643"/>
    </row>
    <row r="644" spans="2:2" x14ac:dyDescent="0.3">
      <c r="B644"/>
    </row>
    <row r="645" spans="2:2" x14ac:dyDescent="0.3">
      <c r="B645"/>
    </row>
    <row r="646" spans="2:2" x14ac:dyDescent="0.3">
      <c r="B646"/>
    </row>
    <row r="647" spans="2:2" x14ac:dyDescent="0.3">
      <c r="B647"/>
    </row>
    <row r="648" spans="2:2" x14ac:dyDescent="0.3">
      <c r="B648"/>
    </row>
    <row r="649" spans="2:2" x14ac:dyDescent="0.3">
      <c r="B649"/>
    </row>
    <row r="650" spans="2:2" x14ac:dyDescent="0.3">
      <c r="B650"/>
    </row>
  </sheetData>
  <autoFilter ref="A1:I324" xr:uid="{8050EE74-ECD2-4FA1-BDB4-41D8463B52BE}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C6556-3048-40A6-B027-15646A02A5CC}">
  <dimension ref="A1:K569"/>
  <sheetViews>
    <sheetView topLeftCell="A95" zoomScale="73" zoomScaleNormal="70" workbookViewId="0">
      <selection activeCell="A124" sqref="A124"/>
    </sheetView>
  </sheetViews>
  <sheetFormatPr defaultRowHeight="14.4" x14ac:dyDescent="0.3"/>
  <cols>
    <col min="1" max="7" width="20.6640625" style="1" customWidth="1"/>
    <col min="9" max="9" width="11.109375" bestFit="1" customWidth="1"/>
  </cols>
  <sheetData>
    <row r="1" spans="1:11" ht="42.75" customHeight="1" x14ac:dyDescent="0.3">
      <c r="A1" s="55" t="s">
        <v>59</v>
      </c>
      <c r="B1" s="55" t="s">
        <v>60</v>
      </c>
      <c r="C1" s="46" t="s">
        <v>312</v>
      </c>
      <c r="D1" s="46" t="s">
        <v>280</v>
      </c>
      <c r="E1" s="46" t="s">
        <v>281</v>
      </c>
      <c r="F1" s="46" t="s">
        <v>282</v>
      </c>
      <c r="G1" s="46" t="s">
        <v>283</v>
      </c>
      <c r="H1" s="45" t="s">
        <v>61</v>
      </c>
      <c r="I1" s="46" t="s">
        <v>731</v>
      </c>
      <c r="J1" s="46" t="s">
        <v>462</v>
      </c>
    </row>
    <row r="2" spans="1:11" x14ac:dyDescent="0.3">
      <c r="A2" s="58" t="s">
        <v>0</v>
      </c>
      <c r="B2" s="47" t="s">
        <v>62</v>
      </c>
      <c r="C2" s="41" t="s">
        <v>594</v>
      </c>
      <c r="D2" s="41" t="s">
        <v>595</v>
      </c>
      <c r="E2" s="41" t="s">
        <v>596</v>
      </c>
      <c r="F2" s="41"/>
      <c r="G2" s="41"/>
      <c r="H2" s="10">
        <v>6.1</v>
      </c>
      <c r="I2" s="54">
        <f>VLOOKUP(A2,İstasyonlar!$A$2:$D$776,4,0)</f>
        <v>1000000</v>
      </c>
      <c r="J2">
        <v>1</v>
      </c>
      <c r="K2" t="str">
        <f t="shared" ref="K2:K65" si="0">IF(I2=1000000,"","Sabit")</f>
        <v/>
      </c>
    </row>
    <row r="3" spans="1:11" x14ac:dyDescent="0.3">
      <c r="A3" s="58" t="s">
        <v>0</v>
      </c>
      <c r="B3" s="47" t="s">
        <v>63</v>
      </c>
      <c r="C3" s="41" t="s">
        <v>594</v>
      </c>
      <c r="D3" s="41" t="s">
        <v>595</v>
      </c>
      <c r="E3" s="41" t="s">
        <v>596</v>
      </c>
      <c r="F3" s="41"/>
      <c r="G3" s="41"/>
      <c r="H3" s="10">
        <v>6.1</v>
      </c>
      <c r="I3" s="54">
        <f>VLOOKUP(A3,İstasyonlar!$A$2:$D$776,4,0)</f>
        <v>1000000</v>
      </c>
      <c r="J3">
        <f t="shared" ref="J3:J66" si="1">IF(A3=A2, J2, J2+1)</f>
        <v>1</v>
      </c>
      <c r="K3" t="str">
        <f t="shared" si="0"/>
        <v/>
      </c>
    </row>
    <row r="4" spans="1:11" x14ac:dyDescent="0.3">
      <c r="A4" s="58" t="s">
        <v>1</v>
      </c>
      <c r="B4" s="47" t="s">
        <v>64</v>
      </c>
      <c r="C4" s="41" t="s">
        <v>596</v>
      </c>
      <c r="D4" s="41" t="s">
        <v>598</v>
      </c>
      <c r="E4" s="41" t="s">
        <v>594</v>
      </c>
      <c r="F4" s="41"/>
      <c r="G4" s="41"/>
      <c r="H4" s="10">
        <v>5.8</v>
      </c>
      <c r="I4" s="54">
        <f>VLOOKUP(A4,İstasyonlar!$A$2:$D$776,4,0)</f>
        <v>999999999</v>
      </c>
      <c r="J4">
        <f t="shared" si="1"/>
        <v>2</v>
      </c>
      <c r="K4" t="str">
        <f t="shared" si="0"/>
        <v>Sabit</v>
      </c>
    </row>
    <row r="5" spans="1:11" x14ac:dyDescent="0.3">
      <c r="A5" s="58" t="s">
        <v>1</v>
      </c>
      <c r="B5" s="47" t="s">
        <v>65</v>
      </c>
      <c r="C5" s="41" t="s">
        <v>596</v>
      </c>
      <c r="D5" s="41" t="s">
        <v>598</v>
      </c>
      <c r="E5" s="41" t="s">
        <v>594</v>
      </c>
      <c r="F5" s="41"/>
      <c r="G5" s="41"/>
      <c r="H5" s="10">
        <v>6.4</v>
      </c>
      <c r="I5" s="54">
        <f>VLOOKUP(A5,İstasyonlar!$A$2:$D$776,4,0)</f>
        <v>999999999</v>
      </c>
      <c r="J5">
        <f t="shared" si="1"/>
        <v>2</v>
      </c>
      <c r="K5" t="str">
        <f t="shared" si="0"/>
        <v>Sabit</v>
      </c>
    </row>
    <row r="6" spans="1:11" x14ac:dyDescent="0.3">
      <c r="A6" s="58" t="s">
        <v>2</v>
      </c>
      <c r="B6" s="47" t="s">
        <v>286</v>
      </c>
      <c r="C6" s="41" t="s">
        <v>598</v>
      </c>
      <c r="D6" s="41" t="s">
        <v>596</v>
      </c>
      <c r="E6" s="41"/>
      <c r="F6" s="41"/>
      <c r="G6" s="41"/>
      <c r="H6" s="10">
        <v>6.1</v>
      </c>
      <c r="I6" s="54">
        <f>VLOOKUP(A6,İstasyonlar!$A$2:$D$776,4,0)</f>
        <v>999999999</v>
      </c>
      <c r="J6">
        <f t="shared" si="1"/>
        <v>3</v>
      </c>
      <c r="K6" t="str">
        <f t="shared" si="0"/>
        <v>Sabit</v>
      </c>
    </row>
    <row r="7" spans="1:11" x14ac:dyDescent="0.3">
      <c r="A7" s="58" t="s">
        <v>2</v>
      </c>
      <c r="B7" s="47" t="s">
        <v>287</v>
      </c>
      <c r="C7" s="41" t="s">
        <v>598</v>
      </c>
      <c r="D7" s="41" t="s">
        <v>596</v>
      </c>
      <c r="E7" s="41"/>
      <c r="F7" s="41"/>
      <c r="G7" s="41"/>
      <c r="H7" s="10">
        <v>6.4</v>
      </c>
      <c r="I7" s="54">
        <f>VLOOKUP(A7,İstasyonlar!$A$2:$D$776,4,0)</f>
        <v>999999999</v>
      </c>
      <c r="J7">
        <f t="shared" si="1"/>
        <v>3</v>
      </c>
      <c r="K7" t="str">
        <f t="shared" si="0"/>
        <v>Sabit</v>
      </c>
    </row>
    <row r="8" spans="1:11" x14ac:dyDescent="0.3">
      <c r="A8" s="58" t="s">
        <v>2</v>
      </c>
      <c r="B8" s="47" t="s">
        <v>288</v>
      </c>
      <c r="C8" s="41" t="s">
        <v>598</v>
      </c>
      <c r="D8" s="41" t="s">
        <v>596</v>
      </c>
      <c r="E8" s="41"/>
      <c r="F8" s="41"/>
      <c r="G8" s="41"/>
      <c r="H8" s="10">
        <v>1</v>
      </c>
      <c r="I8" s="54">
        <f>VLOOKUP(A8,İstasyonlar!$A$2:$D$776,4,0)</f>
        <v>999999999</v>
      </c>
      <c r="J8">
        <f t="shared" si="1"/>
        <v>3</v>
      </c>
      <c r="K8" t="str">
        <f t="shared" si="0"/>
        <v>Sabit</v>
      </c>
    </row>
    <row r="9" spans="1:11" x14ac:dyDescent="0.3">
      <c r="A9" s="58" t="s">
        <v>3</v>
      </c>
      <c r="B9" s="47" t="s">
        <v>66</v>
      </c>
      <c r="C9" s="41" t="s">
        <v>599</v>
      </c>
      <c r="D9" s="41" t="s">
        <v>600</v>
      </c>
      <c r="E9" s="41"/>
      <c r="F9" s="41"/>
      <c r="G9" s="41"/>
      <c r="H9" s="10">
        <v>9.5</v>
      </c>
      <c r="I9" s="54">
        <f>VLOOKUP(A9,İstasyonlar!$A$2:$D$776,4,0)</f>
        <v>1000000</v>
      </c>
      <c r="J9">
        <f t="shared" si="1"/>
        <v>4</v>
      </c>
      <c r="K9" t="str">
        <f t="shared" si="0"/>
        <v/>
      </c>
    </row>
    <row r="10" spans="1:11" x14ac:dyDescent="0.3">
      <c r="A10" s="58" t="s">
        <v>3</v>
      </c>
      <c r="B10" s="47" t="s">
        <v>67</v>
      </c>
      <c r="C10" s="41" t="s">
        <v>599</v>
      </c>
      <c r="D10" s="41" t="s">
        <v>600</v>
      </c>
      <c r="E10" s="41"/>
      <c r="F10" s="41"/>
      <c r="G10" s="41"/>
      <c r="H10" s="10">
        <v>3.1</v>
      </c>
      <c r="I10" s="54">
        <f>VLOOKUP(A10,İstasyonlar!$A$2:$D$776,4,0)</f>
        <v>1000000</v>
      </c>
      <c r="J10">
        <f t="shared" si="1"/>
        <v>4</v>
      </c>
      <c r="K10" t="str">
        <f t="shared" si="0"/>
        <v/>
      </c>
    </row>
    <row r="11" spans="1:11" x14ac:dyDescent="0.3">
      <c r="A11" s="58" t="s">
        <v>5</v>
      </c>
      <c r="B11" s="47" t="s">
        <v>68</v>
      </c>
      <c r="C11" s="41" t="s">
        <v>601</v>
      </c>
      <c r="D11" s="41" t="s">
        <v>602</v>
      </c>
      <c r="E11" s="41" t="s">
        <v>595</v>
      </c>
      <c r="F11" s="41"/>
      <c r="G11" s="41"/>
      <c r="H11" s="10">
        <v>6.5</v>
      </c>
      <c r="I11" s="54">
        <f>VLOOKUP(A11,İstasyonlar!$A$2:$D$776,4,0)</f>
        <v>1000000</v>
      </c>
      <c r="J11">
        <f t="shared" si="1"/>
        <v>5</v>
      </c>
      <c r="K11" t="str">
        <f t="shared" si="0"/>
        <v/>
      </c>
    </row>
    <row r="12" spans="1:11" x14ac:dyDescent="0.3">
      <c r="A12" s="58" t="s">
        <v>5</v>
      </c>
      <c r="B12" s="47" t="s">
        <v>69</v>
      </c>
      <c r="C12" s="41" t="s">
        <v>601</v>
      </c>
      <c r="D12" s="41" t="s">
        <v>602</v>
      </c>
      <c r="E12" s="41" t="s">
        <v>595</v>
      </c>
      <c r="F12" s="41"/>
      <c r="G12" s="41"/>
      <c r="H12" s="10">
        <v>3.1</v>
      </c>
      <c r="I12" s="54">
        <f>VLOOKUP(A12,İstasyonlar!$A$2:$D$776,4,0)</f>
        <v>1000000</v>
      </c>
      <c r="J12">
        <f t="shared" si="1"/>
        <v>5</v>
      </c>
      <c r="K12" t="str">
        <f t="shared" si="0"/>
        <v/>
      </c>
    </row>
    <row r="13" spans="1:11" x14ac:dyDescent="0.3">
      <c r="A13" s="58" t="s">
        <v>5</v>
      </c>
      <c r="B13" s="47" t="s">
        <v>70</v>
      </c>
      <c r="C13" s="41" t="s">
        <v>601</v>
      </c>
      <c r="D13" s="41" t="s">
        <v>602</v>
      </c>
      <c r="E13" s="41" t="s">
        <v>595</v>
      </c>
      <c r="F13" s="41"/>
      <c r="G13" s="41"/>
      <c r="H13" s="10">
        <v>0.3</v>
      </c>
      <c r="I13" s="54">
        <f>VLOOKUP(A13,İstasyonlar!$A$2:$D$776,4,0)</f>
        <v>1000000</v>
      </c>
      <c r="J13">
        <f t="shared" si="1"/>
        <v>5</v>
      </c>
      <c r="K13" t="str">
        <f t="shared" si="0"/>
        <v/>
      </c>
    </row>
    <row r="14" spans="1:11" x14ac:dyDescent="0.3">
      <c r="A14" s="58" t="s">
        <v>4</v>
      </c>
      <c r="B14" s="47" t="s">
        <v>71</v>
      </c>
      <c r="C14" s="41" t="s">
        <v>605</v>
      </c>
      <c r="D14" s="41" t="s">
        <v>644</v>
      </c>
      <c r="E14" s="41" t="s">
        <v>604</v>
      </c>
      <c r="F14" s="41"/>
      <c r="G14" s="41"/>
      <c r="H14" s="10">
        <v>2.37</v>
      </c>
      <c r="I14" s="54">
        <f>VLOOKUP(A14,İstasyonlar!$A$2:$D$776,4,0)</f>
        <v>1000000</v>
      </c>
      <c r="J14">
        <f t="shared" si="1"/>
        <v>6</v>
      </c>
      <c r="K14" t="str">
        <f t="shared" si="0"/>
        <v/>
      </c>
    </row>
    <row r="15" spans="1:11" x14ac:dyDescent="0.3">
      <c r="A15" s="58" t="s">
        <v>4</v>
      </c>
      <c r="B15" s="47" t="s">
        <v>72</v>
      </c>
      <c r="C15" s="41" t="s">
        <v>605</v>
      </c>
      <c r="D15" s="41" t="s">
        <v>644</v>
      </c>
      <c r="E15" s="41" t="s">
        <v>604</v>
      </c>
      <c r="F15" s="41"/>
      <c r="G15" s="41"/>
      <c r="H15" s="10">
        <v>9.1</v>
      </c>
      <c r="I15" s="54">
        <f>VLOOKUP(A15,İstasyonlar!$A$2:$D$776,4,0)</f>
        <v>1000000</v>
      </c>
      <c r="J15">
        <f t="shared" si="1"/>
        <v>6</v>
      </c>
      <c r="K15" t="str">
        <f t="shared" si="0"/>
        <v/>
      </c>
    </row>
    <row r="16" spans="1:11" x14ac:dyDescent="0.3">
      <c r="A16" s="58" t="s">
        <v>289</v>
      </c>
      <c r="B16" s="47" t="s">
        <v>290</v>
      </c>
      <c r="C16" s="41" t="s">
        <v>604</v>
      </c>
      <c r="D16" s="41" t="s">
        <v>605</v>
      </c>
      <c r="E16" s="41"/>
      <c r="F16" s="41"/>
      <c r="G16" s="41"/>
      <c r="H16" s="10">
        <v>4.3</v>
      </c>
      <c r="I16" s="54">
        <f>VLOOKUP(A16,İstasyonlar!$A$2:$D$776,4,0)</f>
        <v>1000000</v>
      </c>
      <c r="J16">
        <f t="shared" si="1"/>
        <v>7</v>
      </c>
      <c r="K16" t="str">
        <f t="shared" si="0"/>
        <v/>
      </c>
    </row>
    <row r="17" spans="1:11" x14ac:dyDescent="0.3">
      <c r="A17" s="58" t="s">
        <v>6</v>
      </c>
      <c r="B17" s="47" t="s">
        <v>73</v>
      </c>
      <c r="C17" s="41" t="s">
        <v>606</v>
      </c>
      <c r="D17" s="41" t="s">
        <v>599</v>
      </c>
      <c r="E17" s="41"/>
      <c r="F17" s="41"/>
      <c r="G17" s="41"/>
      <c r="H17" s="10">
        <v>5.3</v>
      </c>
      <c r="I17" s="54">
        <f>VLOOKUP(A17,İstasyonlar!$A$2:$D$776,4,0)</f>
        <v>999999999</v>
      </c>
      <c r="J17">
        <f t="shared" si="1"/>
        <v>8</v>
      </c>
      <c r="K17" t="str">
        <f t="shared" si="0"/>
        <v>Sabit</v>
      </c>
    </row>
    <row r="18" spans="1:11" x14ac:dyDescent="0.3">
      <c r="A18" s="58" t="s">
        <v>6</v>
      </c>
      <c r="B18" s="47" t="s">
        <v>74</v>
      </c>
      <c r="C18" s="41" t="s">
        <v>606</v>
      </c>
      <c r="D18" s="41" t="s">
        <v>599</v>
      </c>
      <c r="E18" s="41"/>
      <c r="F18" s="41"/>
      <c r="G18" s="41"/>
      <c r="H18" s="10">
        <v>6.4</v>
      </c>
      <c r="I18" s="54">
        <f>VLOOKUP(A18,İstasyonlar!$A$2:$D$776,4,0)</f>
        <v>999999999</v>
      </c>
      <c r="J18">
        <f t="shared" si="1"/>
        <v>8</v>
      </c>
      <c r="K18" t="str">
        <f t="shared" si="0"/>
        <v>Sabit</v>
      </c>
    </row>
    <row r="19" spans="1:11" x14ac:dyDescent="0.3">
      <c r="A19" s="58" t="s">
        <v>6</v>
      </c>
      <c r="B19" s="47" t="s">
        <v>75</v>
      </c>
      <c r="C19" s="41" t="s">
        <v>606</v>
      </c>
      <c r="D19" s="41" t="s">
        <v>599</v>
      </c>
      <c r="E19" s="41"/>
      <c r="F19" s="41"/>
      <c r="G19" s="41"/>
      <c r="H19" s="10">
        <v>2.4</v>
      </c>
      <c r="I19" s="54">
        <f>VLOOKUP(A19,İstasyonlar!$A$2:$D$776,4,0)</f>
        <v>999999999</v>
      </c>
      <c r="J19">
        <f t="shared" si="1"/>
        <v>8</v>
      </c>
      <c r="K19" t="str">
        <f t="shared" si="0"/>
        <v>Sabit</v>
      </c>
    </row>
    <row r="20" spans="1:11" x14ac:dyDescent="0.3">
      <c r="A20" s="58" t="s">
        <v>6</v>
      </c>
      <c r="B20" s="47" t="s">
        <v>76</v>
      </c>
      <c r="C20" s="41" t="s">
        <v>606</v>
      </c>
      <c r="D20" s="41" t="s">
        <v>599</v>
      </c>
      <c r="E20" s="41"/>
      <c r="F20" s="41"/>
      <c r="G20" s="41"/>
      <c r="H20" s="10">
        <v>2.7</v>
      </c>
      <c r="I20" s="54">
        <f>VLOOKUP(A20,İstasyonlar!$A$2:$D$776,4,0)</f>
        <v>999999999</v>
      </c>
      <c r="J20">
        <f t="shared" si="1"/>
        <v>8</v>
      </c>
      <c r="K20" t="str">
        <f t="shared" si="0"/>
        <v>Sabit</v>
      </c>
    </row>
    <row r="21" spans="1:11" x14ac:dyDescent="0.3">
      <c r="A21" s="58" t="s">
        <v>7</v>
      </c>
      <c r="B21" s="47" t="s">
        <v>77</v>
      </c>
      <c r="C21" s="41" t="s">
        <v>607</v>
      </c>
      <c r="D21" s="41" t="s">
        <v>608</v>
      </c>
      <c r="E21" s="41"/>
      <c r="F21" s="41"/>
      <c r="G21" s="41" t="s">
        <v>596</v>
      </c>
      <c r="H21" s="10">
        <v>9.1999999999999993</v>
      </c>
      <c r="I21" s="54">
        <f>VLOOKUP(A21,İstasyonlar!$A$2:$D$776,4,0)</f>
        <v>999999999</v>
      </c>
      <c r="J21">
        <f t="shared" si="1"/>
        <v>9</v>
      </c>
      <c r="K21" t="str">
        <f t="shared" si="0"/>
        <v>Sabit</v>
      </c>
    </row>
    <row r="22" spans="1:11" x14ac:dyDescent="0.3">
      <c r="A22" s="58" t="s">
        <v>7</v>
      </c>
      <c r="B22" s="47" t="s">
        <v>78</v>
      </c>
      <c r="C22" s="41" t="s">
        <v>607</v>
      </c>
      <c r="D22" s="41" t="s">
        <v>608</v>
      </c>
      <c r="E22" s="41"/>
      <c r="F22" s="41"/>
      <c r="G22" s="41" t="s">
        <v>596</v>
      </c>
      <c r="H22" s="10">
        <v>9.1999999999999993</v>
      </c>
      <c r="I22" s="54">
        <f>VLOOKUP(A22,İstasyonlar!$A$2:$D$776,4,0)</f>
        <v>999999999</v>
      </c>
      <c r="J22">
        <f t="shared" si="1"/>
        <v>9</v>
      </c>
      <c r="K22" t="str">
        <f t="shared" si="0"/>
        <v>Sabit</v>
      </c>
    </row>
    <row r="23" spans="1:11" x14ac:dyDescent="0.3">
      <c r="A23" s="58" t="s">
        <v>291</v>
      </c>
      <c r="B23" s="47" t="s">
        <v>292</v>
      </c>
      <c r="C23" s="41" t="s">
        <v>608</v>
      </c>
      <c r="D23" s="41" t="s">
        <v>607</v>
      </c>
      <c r="E23" s="41" t="s">
        <v>606</v>
      </c>
      <c r="F23" s="41"/>
      <c r="G23" s="41"/>
      <c r="H23" s="10">
        <v>9.1999999999999993</v>
      </c>
      <c r="I23" s="54">
        <f>VLOOKUP(A23,İstasyonlar!$A$2:$D$776,4,0)</f>
        <v>999999999</v>
      </c>
      <c r="J23">
        <f t="shared" si="1"/>
        <v>10</v>
      </c>
      <c r="K23" t="str">
        <f t="shared" si="0"/>
        <v>Sabit</v>
      </c>
    </row>
    <row r="24" spans="1:11" x14ac:dyDescent="0.3">
      <c r="A24" s="58" t="s">
        <v>291</v>
      </c>
      <c r="B24" s="47" t="s">
        <v>293</v>
      </c>
      <c r="C24" s="41" t="s">
        <v>608</v>
      </c>
      <c r="D24" s="41" t="s">
        <v>607</v>
      </c>
      <c r="E24" s="41" t="s">
        <v>606</v>
      </c>
      <c r="F24" s="41"/>
      <c r="G24" s="41"/>
      <c r="H24" s="10">
        <v>9.1999999999999993</v>
      </c>
      <c r="I24" s="54">
        <f>VLOOKUP(A24,İstasyonlar!$A$2:$D$776,4,0)</f>
        <v>999999999</v>
      </c>
      <c r="J24">
        <f t="shared" si="1"/>
        <v>10</v>
      </c>
      <c r="K24" t="str">
        <f t="shared" si="0"/>
        <v>Sabit</v>
      </c>
    </row>
    <row r="25" spans="1:11" x14ac:dyDescent="0.3">
      <c r="A25" s="58" t="s">
        <v>8</v>
      </c>
      <c r="B25" s="47" t="s">
        <v>81</v>
      </c>
      <c r="C25" s="41" t="s">
        <v>609</v>
      </c>
      <c r="D25" s="41"/>
      <c r="E25" s="41"/>
      <c r="F25" s="41"/>
      <c r="G25" s="41"/>
      <c r="H25" s="10">
        <v>5.5</v>
      </c>
      <c r="I25" s="54">
        <f>VLOOKUP(A25,İstasyonlar!$A$2:$D$776,4,0)</f>
        <v>999999999</v>
      </c>
      <c r="J25">
        <f t="shared" si="1"/>
        <v>11</v>
      </c>
      <c r="K25" t="str">
        <f t="shared" si="0"/>
        <v>Sabit</v>
      </c>
    </row>
    <row r="26" spans="1:11" x14ac:dyDescent="0.3">
      <c r="A26" s="58" t="s">
        <v>8</v>
      </c>
      <c r="B26" s="47" t="s">
        <v>82</v>
      </c>
      <c r="C26" s="41" t="s">
        <v>609</v>
      </c>
      <c r="D26" s="41"/>
      <c r="E26" s="41"/>
      <c r="F26" s="41"/>
      <c r="G26" s="41"/>
      <c r="H26" s="10">
        <v>3.8</v>
      </c>
      <c r="I26" s="54">
        <f>VLOOKUP(A26,İstasyonlar!$A$2:$D$776,4,0)</f>
        <v>999999999</v>
      </c>
      <c r="J26">
        <f t="shared" si="1"/>
        <v>11</v>
      </c>
      <c r="K26" t="str">
        <f t="shared" si="0"/>
        <v>Sabit</v>
      </c>
    </row>
    <row r="27" spans="1:11" x14ac:dyDescent="0.3">
      <c r="A27" s="58" t="s">
        <v>8</v>
      </c>
      <c r="B27" s="47" t="s">
        <v>79</v>
      </c>
      <c r="C27" s="41" t="s">
        <v>609</v>
      </c>
      <c r="D27" s="41"/>
      <c r="E27" s="41"/>
      <c r="F27" s="41"/>
      <c r="G27" s="41"/>
      <c r="H27" s="10">
        <v>2.5</v>
      </c>
      <c r="I27" s="54">
        <f>VLOOKUP(A27,İstasyonlar!$A$2:$D$776,4,0)</f>
        <v>999999999</v>
      </c>
      <c r="J27">
        <f t="shared" si="1"/>
        <v>11</v>
      </c>
      <c r="K27" t="str">
        <f t="shared" si="0"/>
        <v>Sabit</v>
      </c>
    </row>
    <row r="28" spans="1:11" x14ac:dyDescent="0.3">
      <c r="A28" s="58" t="s">
        <v>8</v>
      </c>
      <c r="B28" s="47" t="s">
        <v>80</v>
      </c>
      <c r="C28" s="41" t="s">
        <v>609</v>
      </c>
      <c r="D28" s="41"/>
      <c r="E28" s="41"/>
      <c r="F28" s="41"/>
      <c r="G28" s="41"/>
      <c r="H28" s="10">
        <v>2.7</v>
      </c>
      <c r="I28" s="54">
        <f>VLOOKUP(A28,İstasyonlar!$A$2:$D$776,4,0)</f>
        <v>999999999</v>
      </c>
      <c r="J28">
        <f t="shared" si="1"/>
        <v>11</v>
      </c>
      <c r="K28" t="str">
        <f t="shared" si="0"/>
        <v>Sabit</v>
      </c>
    </row>
    <row r="29" spans="1:11" x14ac:dyDescent="0.3">
      <c r="A29" s="58" t="s">
        <v>9</v>
      </c>
      <c r="B29" s="47" t="s">
        <v>83</v>
      </c>
      <c r="C29" s="41" t="s">
        <v>610</v>
      </c>
      <c r="D29" s="41" t="s">
        <v>611</v>
      </c>
      <c r="E29" s="41"/>
      <c r="F29" s="41"/>
      <c r="G29" s="41"/>
      <c r="H29" s="10">
        <v>3.9</v>
      </c>
      <c r="I29" s="54">
        <f>VLOOKUP(A29,İstasyonlar!$A$2:$D$776,4,0)</f>
        <v>1000000</v>
      </c>
      <c r="J29">
        <f t="shared" si="1"/>
        <v>12</v>
      </c>
      <c r="K29" t="str">
        <f t="shared" si="0"/>
        <v/>
      </c>
    </row>
    <row r="30" spans="1:11" x14ac:dyDescent="0.3">
      <c r="A30" s="58" t="s">
        <v>9</v>
      </c>
      <c r="B30" s="47" t="s">
        <v>84</v>
      </c>
      <c r="C30" s="41" t="s">
        <v>610</v>
      </c>
      <c r="D30" s="41" t="s">
        <v>611</v>
      </c>
      <c r="E30" s="41"/>
      <c r="F30" s="41"/>
      <c r="G30" s="41"/>
      <c r="H30" s="10">
        <v>5.5</v>
      </c>
      <c r="I30" s="54">
        <f>VLOOKUP(A30,İstasyonlar!$A$2:$D$776,4,0)</f>
        <v>1000000</v>
      </c>
      <c r="J30">
        <f t="shared" si="1"/>
        <v>12</v>
      </c>
      <c r="K30" t="str">
        <f t="shared" si="0"/>
        <v/>
      </c>
    </row>
    <row r="31" spans="1:11" x14ac:dyDescent="0.3">
      <c r="A31" s="58" t="s">
        <v>9</v>
      </c>
      <c r="B31" s="47" t="s">
        <v>85</v>
      </c>
      <c r="C31" s="41" t="s">
        <v>610</v>
      </c>
      <c r="D31" s="41" t="s">
        <v>611</v>
      </c>
      <c r="E31" s="41"/>
      <c r="F31" s="41"/>
      <c r="G31" s="41"/>
      <c r="H31" s="10">
        <v>7.2</v>
      </c>
      <c r="I31" s="54">
        <f>VLOOKUP(A31,İstasyonlar!$A$2:$D$776,4,0)</f>
        <v>1000000</v>
      </c>
      <c r="J31">
        <f t="shared" si="1"/>
        <v>12</v>
      </c>
      <c r="K31" t="str">
        <f t="shared" si="0"/>
        <v/>
      </c>
    </row>
    <row r="32" spans="1:11" x14ac:dyDescent="0.3">
      <c r="A32" s="58" t="s">
        <v>13</v>
      </c>
      <c r="B32" s="47" t="s">
        <v>86</v>
      </c>
      <c r="C32" s="41" t="s">
        <v>612</v>
      </c>
      <c r="D32" s="41"/>
      <c r="E32" s="41"/>
      <c r="F32" s="41"/>
      <c r="G32" s="41"/>
      <c r="H32" s="10">
        <v>11.5</v>
      </c>
      <c r="I32" s="54">
        <f>VLOOKUP(A32,İstasyonlar!$A$2:$D$776,4,0)</f>
        <v>1000000</v>
      </c>
      <c r="J32">
        <f t="shared" si="1"/>
        <v>13</v>
      </c>
      <c r="K32" t="str">
        <f t="shared" si="0"/>
        <v/>
      </c>
    </row>
    <row r="33" spans="1:11" x14ac:dyDescent="0.3">
      <c r="A33" s="58" t="s">
        <v>14</v>
      </c>
      <c r="B33" s="47" t="s">
        <v>87</v>
      </c>
      <c r="C33" s="41" t="s">
        <v>613</v>
      </c>
      <c r="D33" s="41" t="s">
        <v>612</v>
      </c>
      <c r="E33" s="41"/>
      <c r="F33" s="41"/>
      <c r="G33" s="41"/>
      <c r="H33" s="10">
        <v>6.2</v>
      </c>
      <c r="I33" s="54">
        <f>VLOOKUP(A33,İstasyonlar!$A$2:$D$776,4,0)</f>
        <v>1000000</v>
      </c>
      <c r="J33">
        <f t="shared" si="1"/>
        <v>14</v>
      </c>
      <c r="K33" t="str">
        <f t="shared" si="0"/>
        <v/>
      </c>
    </row>
    <row r="34" spans="1:11" x14ac:dyDescent="0.3">
      <c r="A34" s="58" t="s">
        <v>14</v>
      </c>
      <c r="B34" s="47" t="s">
        <v>88</v>
      </c>
      <c r="C34" s="41" t="s">
        <v>613</v>
      </c>
      <c r="D34" s="41" t="s">
        <v>612</v>
      </c>
      <c r="E34" s="41"/>
      <c r="F34" s="41"/>
      <c r="G34" s="41"/>
      <c r="H34" s="10">
        <v>3.1</v>
      </c>
      <c r="I34" s="54">
        <f>VLOOKUP(A34,İstasyonlar!$A$2:$D$776,4,0)</f>
        <v>1000000</v>
      </c>
      <c r="J34">
        <f t="shared" si="1"/>
        <v>14</v>
      </c>
      <c r="K34" t="str">
        <f t="shared" si="0"/>
        <v/>
      </c>
    </row>
    <row r="35" spans="1:11" x14ac:dyDescent="0.3">
      <c r="A35" s="58" t="s">
        <v>12</v>
      </c>
      <c r="B35" s="47" t="s">
        <v>89</v>
      </c>
      <c r="C35" s="41" t="s">
        <v>614</v>
      </c>
      <c r="D35" s="41"/>
      <c r="E35" s="41"/>
      <c r="F35" s="41"/>
      <c r="G35" s="41"/>
      <c r="H35" s="10">
        <v>3.2</v>
      </c>
      <c r="I35" s="54">
        <f>VLOOKUP(A35,İstasyonlar!$A$2:$D$776,4,0)</f>
        <v>999999999</v>
      </c>
      <c r="J35">
        <f t="shared" si="1"/>
        <v>15</v>
      </c>
      <c r="K35" t="str">
        <f t="shared" si="0"/>
        <v>Sabit</v>
      </c>
    </row>
    <row r="36" spans="1:11" x14ac:dyDescent="0.3">
      <c r="A36" s="58" t="s">
        <v>12</v>
      </c>
      <c r="B36" s="47" t="s">
        <v>90</v>
      </c>
      <c r="C36" s="41" t="s">
        <v>614</v>
      </c>
      <c r="D36" s="41"/>
      <c r="E36" s="41"/>
      <c r="F36" s="41"/>
      <c r="G36" s="41"/>
      <c r="H36" s="10">
        <v>5.5</v>
      </c>
      <c r="I36" s="54">
        <f>VLOOKUP(A36,İstasyonlar!$A$2:$D$776,4,0)</f>
        <v>999999999</v>
      </c>
      <c r="J36">
        <f t="shared" si="1"/>
        <v>15</v>
      </c>
      <c r="K36" t="str">
        <f t="shared" si="0"/>
        <v>Sabit</v>
      </c>
    </row>
    <row r="37" spans="1:11" x14ac:dyDescent="0.3">
      <c r="A37" s="58" t="s">
        <v>12</v>
      </c>
      <c r="B37" s="47" t="s">
        <v>91</v>
      </c>
      <c r="C37" s="41" t="s">
        <v>614</v>
      </c>
      <c r="D37" s="41"/>
      <c r="E37" s="41"/>
      <c r="F37" s="41"/>
      <c r="G37" s="41"/>
      <c r="H37" s="10">
        <v>5</v>
      </c>
      <c r="I37" s="54">
        <f>VLOOKUP(A37,İstasyonlar!$A$2:$D$776,4,0)</f>
        <v>999999999</v>
      </c>
      <c r="J37">
        <f t="shared" si="1"/>
        <v>15</v>
      </c>
      <c r="K37" t="str">
        <f t="shared" si="0"/>
        <v>Sabit</v>
      </c>
    </row>
    <row r="38" spans="1:11" x14ac:dyDescent="0.3">
      <c r="A38" s="58" t="s">
        <v>11</v>
      </c>
      <c r="B38" s="47" t="s">
        <v>92</v>
      </c>
      <c r="C38" s="41" t="s">
        <v>615</v>
      </c>
      <c r="D38" s="41"/>
      <c r="E38" s="41"/>
      <c r="F38" s="41"/>
      <c r="G38" s="41"/>
      <c r="H38" s="10">
        <v>6</v>
      </c>
      <c r="I38" s="54">
        <f>VLOOKUP(A38,İstasyonlar!$A$2:$D$776,4,0)</f>
        <v>999999999</v>
      </c>
      <c r="J38">
        <f t="shared" si="1"/>
        <v>16</v>
      </c>
      <c r="K38" t="str">
        <f t="shared" si="0"/>
        <v>Sabit</v>
      </c>
    </row>
    <row r="39" spans="1:11" x14ac:dyDescent="0.3">
      <c r="A39" s="58" t="s">
        <v>11</v>
      </c>
      <c r="B39" s="47" t="s">
        <v>94</v>
      </c>
      <c r="C39" s="41" t="s">
        <v>615</v>
      </c>
      <c r="D39" s="41"/>
      <c r="E39" s="41"/>
      <c r="F39" s="41"/>
      <c r="G39" s="41"/>
      <c r="H39" s="10">
        <v>8.1</v>
      </c>
      <c r="I39" s="54">
        <f>VLOOKUP(A39,İstasyonlar!$A$2:$D$776,4,0)</f>
        <v>999999999</v>
      </c>
      <c r="J39">
        <f t="shared" si="1"/>
        <v>16</v>
      </c>
      <c r="K39" t="str">
        <f t="shared" si="0"/>
        <v>Sabit</v>
      </c>
    </row>
    <row r="40" spans="1:11" x14ac:dyDescent="0.3">
      <c r="A40" s="58" t="s">
        <v>11</v>
      </c>
      <c r="B40" s="47" t="s">
        <v>95</v>
      </c>
      <c r="C40" s="41" t="s">
        <v>615</v>
      </c>
      <c r="D40" s="41"/>
      <c r="E40" s="41"/>
      <c r="F40" s="41"/>
      <c r="G40" s="41"/>
      <c r="H40" s="10">
        <v>3.8</v>
      </c>
      <c r="I40" s="54">
        <f>VLOOKUP(A40,İstasyonlar!$A$2:$D$776,4,0)</f>
        <v>999999999</v>
      </c>
      <c r="J40">
        <f t="shared" si="1"/>
        <v>16</v>
      </c>
      <c r="K40" t="str">
        <f t="shared" si="0"/>
        <v>Sabit</v>
      </c>
    </row>
    <row r="41" spans="1:11" x14ac:dyDescent="0.3">
      <c r="A41" s="58" t="s">
        <v>10</v>
      </c>
      <c r="B41" s="47" t="s">
        <v>96</v>
      </c>
      <c r="C41" s="41" t="s">
        <v>616</v>
      </c>
      <c r="D41" s="41" t="s">
        <v>604</v>
      </c>
      <c r="E41" s="41"/>
      <c r="F41" s="41"/>
      <c r="G41" s="41"/>
      <c r="H41" s="10">
        <v>3.5</v>
      </c>
      <c r="I41" s="54">
        <f>VLOOKUP(A41,İstasyonlar!$A$2:$D$776,4,0)</f>
        <v>999999999</v>
      </c>
      <c r="J41">
        <f t="shared" si="1"/>
        <v>17</v>
      </c>
      <c r="K41" t="str">
        <f t="shared" si="0"/>
        <v>Sabit</v>
      </c>
    </row>
    <row r="42" spans="1:11" x14ac:dyDescent="0.3">
      <c r="A42" s="58" t="s">
        <v>10</v>
      </c>
      <c r="B42" s="47" t="s">
        <v>97</v>
      </c>
      <c r="C42" s="41" t="s">
        <v>616</v>
      </c>
      <c r="D42" s="41" t="s">
        <v>604</v>
      </c>
      <c r="E42" s="41"/>
      <c r="F42" s="41"/>
      <c r="G42" s="41"/>
      <c r="H42" s="10">
        <v>3.1</v>
      </c>
      <c r="I42" s="54">
        <f>VLOOKUP(A42,İstasyonlar!$A$2:$D$776,4,0)</f>
        <v>999999999</v>
      </c>
      <c r="J42">
        <f t="shared" si="1"/>
        <v>17</v>
      </c>
      <c r="K42" t="str">
        <f t="shared" si="0"/>
        <v>Sabit</v>
      </c>
    </row>
    <row r="43" spans="1:11" x14ac:dyDescent="0.3">
      <c r="A43" s="58" t="s">
        <v>15</v>
      </c>
      <c r="B43" s="47" t="s">
        <v>99</v>
      </c>
      <c r="C43" s="41" t="s">
        <v>617</v>
      </c>
      <c r="D43" s="41" t="s">
        <v>618</v>
      </c>
      <c r="E43" s="41" t="s">
        <v>619</v>
      </c>
      <c r="F43" s="41"/>
      <c r="G43" s="41"/>
      <c r="H43" s="10">
        <v>2.1</v>
      </c>
      <c r="I43" s="54">
        <f>VLOOKUP(A43,İstasyonlar!$A$2:$D$776,4,0)</f>
        <v>999999999</v>
      </c>
      <c r="J43">
        <f t="shared" si="1"/>
        <v>18</v>
      </c>
      <c r="K43" t="str">
        <f t="shared" si="0"/>
        <v>Sabit</v>
      </c>
    </row>
    <row r="44" spans="1:11" x14ac:dyDescent="0.3">
      <c r="A44" s="58" t="s">
        <v>15</v>
      </c>
      <c r="B44" s="47" t="s">
        <v>100</v>
      </c>
      <c r="C44" s="41" t="s">
        <v>617</v>
      </c>
      <c r="D44" s="41" t="s">
        <v>618</v>
      </c>
      <c r="E44" s="41" t="s">
        <v>619</v>
      </c>
      <c r="F44" s="41"/>
      <c r="G44" s="41"/>
      <c r="H44" s="10">
        <v>1.8</v>
      </c>
      <c r="I44" s="54">
        <f>VLOOKUP(A44,İstasyonlar!$A$2:$D$776,4,0)</f>
        <v>999999999</v>
      </c>
      <c r="J44">
        <f t="shared" si="1"/>
        <v>18</v>
      </c>
      <c r="K44" t="str">
        <f t="shared" si="0"/>
        <v>Sabit</v>
      </c>
    </row>
    <row r="45" spans="1:11" x14ac:dyDescent="0.3">
      <c r="A45" s="58" t="s">
        <v>15</v>
      </c>
      <c r="B45" s="47" t="s">
        <v>101</v>
      </c>
      <c r="C45" s="41" t="s">
        <v>617</v>
      </c>
      <c r="D45" s="41" t="s">
        <v>618</v>
      </c>
      <c r="E45" s="41" t="s">
        <v>619</v>
      </c>
      <c r="F45" s="41"/>
      <c r="G45" s="41"/>
      <c r="H45" s="10">
        <v>3.2</v>
      </c>
      <c r="I45" s="54">
        <f>VLOOKUP(A45,İstasyonlar!$A$2:$D$776,4,0)</f>
        <v>999999999</v>
      </c>
      <c r="J45">
        <f t="shared" si="1"/>
        <v>18</v>
      </c>
      <c r="K45" t="str">
        <f t="shared" si="0"/>
        <v>Sabit</v>
      </c>
    </row>
    <row r="46" spans="1:11" x14ac:dyDescent="0.3">
      <c r="A46" s="58" t="s">
        <v>16</v>
      </c>
      <c r="B46" s="47" t="s">
        <v>106</v>
      </c>
      <c r="C46" s="41" t="s">
        <v>619</v>
      </c>
      <c r="D46" s="41"/>
      <c r="E46" s="41"/>
      <c r="F46" s="41" t="s">
        <v>617</v>
      </c>
      <c r="G46" s="41"/>
      <c r="H46" s="10">
        <v>4.5</v>
      </c>
      <c r="I46" s="54">
        <f>VLOOKUP(A46,İstasyonlar!$A$2:$D$776,4,0)</f>
        <v>1000000</v>
      </c>
      <c r="J46">
        <f t="shared" si="1"/>
        <v>19</v>
      </c>
      <c r="K46" t="str">
        <f t="shared" si="0"/>
        <v/>
      </c>
    </row>
    <row r="47" spans="1:11" x14ac:dyDescent="0.3">
      <c r="A47" s="58" t="s">
        <v>16</v>
      </c>
      <c r="B47" s="47" t="s">
        <v>105</v>
      </c>
      <c r="C47" s="41" t="s">
        <v>619</v>
      </c>
      <c r="D47" s="41"/>
      <c r="E47" s="41"/>
      <c r="F47" s="41" t="s">
        <v>617</v>
      </c>
      <c r="G47" s="41"/>
      <c r="H47" s="10">
        <v>6.8</v>
      </c>
      <c r="I47" s="54">
        <f>VLOOKUP(A47,İstasyonlar!$A$2:$D$776,4,0)</f>
        <v>1000000</v>
      </c>
      <c r="J47">
        <f t="shared" si="1"/>
        <v>19</v>
      </c>
      <c r="K47" t="str">
        <f t="shared" si="0"/>
        <v/>
      </c>
    </row>
    <row r="48" spans="1:11" x14ac:dyDescent="0.3">
      <c r="A48" s="58" t="s">
        <v>16</v>
      </c>
      <c r="B48" s="47" t="s">
        <v>107</v>
      </c>
      <c r="C48" s="41" t="s">
        <v>619</v>
      </c>
      <c r="D48" s="41"/>
      <c r="E48" s="41"/>
      <c r="F48" s="41" t="s">
        <v>617</v>
      </c>
      <c r="G48" s="41"/>
      <c r="H48" s="10">
        <v>2.8</v>
      </c>
      <c r="I48" s="54">
        <f>VLOOKUP(A48,İstasyonlar!$A$2:$D$776,4,0)</f>
        <v>1000000</v>
      </c>
      <c r="J48">
        <f t="shared" si="1"/>
        <v>19</v>
      </c>
      <c r="K48" t="str">
        <f t="shared" si="0"/>
        <v/>
      </c>
    </row>
    <row r="49" spans="1:11" x14ac:dyDescent="0.3">
      <c r="A49" s="58" t="s">
        <v>17</v>
      </c>
      <c r="B49" s="47" t="s">
        <v>108</v>
      </c>
      <c r="C49" s="41" t="s">
        <v>618</v>
      </c>
      <c r="D49" s="41" t="s">
        <v>619</v>
      </c>
      <c r="E49" s="41" t="s">
        <v>620</v>
      </c>
      <c r="F49" s="41"/>
      <c r="G49" s="41"/>
      <c r="H49" s="10">
        <v>3.1</v>
      </c>
      <c r="I49" s="54">
        <f>VLOOKUP(A49,İstasyonlar!$A$2:$D$776,4,0)</f>
        <v>1000000</v>
      </c>
      <c r="J49">
        <f t="shared" si="1"/>
        <v>20</v>
      </c>
      <c r="K49" t="str">
        <f t="shared" si="0"/>
        <v/>
      </c>
    </row>
    <row r="50" spans="1:11" x14ac:dyDescent="0.3">
      <c r="A50" s="58" t="s">
        <v>17</v>
      </c>
      <c r="B50" s="47" t="s">
        <v>109</v>
      </c>
      <c r="C50" s="41" t="s">
        <v>618</v>
      </c>
      <c r="D50" s="41" t="s">
        <v>619</v>
      </c>
      <c r="E50" s="41" t="s">
        <v>620</v>
      </c>
      <c r="F50" s="41"/>
      <c r="G50" s="41"/>
      <c r="H50" s="10">
        <v>2.5</v>
      </c>
      <c r="I50" s="54">
        <f>VLOOKUP(A50,İstasyonlar!$A$2:$D$776,4,0)</f>
        <v>1000000</v>
      </c>
      <c r="J50">
        <f t="shared" si="1"/>
        <v>20</v>
      </c>
      <c r="K50" t="str">
        <f t="shared" si="0"/>
        <v/>
      </c>
    </row>
    <row r="51" spans="1:11" x14ac:dyDescent="0.3">
      <c r="A51" s="58" t="s">
        <v>17</v>
      </c>
      <c r="B51" s="47" t="s">
        <v>110</v>
      </c>
      <c r="C51" s="41" t="s">
        <v>618</v>
      </c>
      <c r="D51" s="41" t="s">
        <v>619</v>
      </c>
      <c r="E51" s="41" t="s">
        <v>620</v>
      </c>
      <c r="F51" s="41"/>
      <c r="G51" s="41"/>
      <c r="H51" s="10">
        <v>3.1</v>
      </c>
      <c r="I51" s="54">
        <f>VLOOKUP(A51,İstasyonlar!$A$2:$D$776,4,0)</f>
        <v>1000000</v>
      </c>
      <c r="J51">
        <f t="shared" si="1"/>
        <v>20</v>
      </c>
      <c r="K51" t="str">
        <f t="shared" si="0"/>
        <v/>
      </c>
    </row>
    <row r="52" spans="1:11" x14ac:dyDescent="0.3">
      <c r="A52" s="58" t="s">
        <v>17</v>
      </c>
      <c r="B52" s="47" t="s">
        <v>111</v>
      </c>
      <c r="C52" s="41" t="s">
        <v>618</v>
      </c>
      <c r="D52" s="41" t="s">
        <v>619</v>
      </c>
      <c r="E52" s="41" t="s">
        <v>620</v>
      </c>
      <c r="F52" s="41"/>
      <c r="G52" s="41"/>
      <c r="H52" s="10">
        <v>5.5</v>
      </c>
      <c r="I52" s="54">
        <f>VLOOKUP(A52,İstasyonlar!$A$2:$D$776,4,0)</f>
        <v>1000000</v>
      </c>
      <c r="J52">
        <f t="shared" si="1"/>
        <v>20</v>
      </c>
      <c r="K52" t="str">
        <f t="shared" si="0"/>
        <v/>
      </c>
    </row>
    <row r="53" spans="1:11" x14ac:dyDescent="0.3">
      <c r="A53" s="58" t="s">
        <v>20</v>
      </c>
      <c r="B53" s="47" t="s">
        <v>112</v>
      </c>
      <c r="C53" s="41" t="s">
        <v>621</v>
      </c>
      <c r="D53" s="41"/>
      <c r="E53" s="41"/>
      <c r="F53" s="41"/>
      <c r="G53" s="41"/>
      <c r="H53" s="10">
        <v>4.5</v>
      </c>
      <c r="I53" s="54">
        <f>VLOOKUP(A53,İstasyonlar!$A$2:$D$776,4,0)</f>
        <v>1000000</v>
      </c>
      <c r="J53">
        <f t="shared" si="1"/>
        <v>21</v>
      </c>
      <c r="K53" t="str">
        <f t="shared" si="0"/>
        <v/>
      </c>
    </row>
    <row r="54" spans="1:11" x14ac:dyDescent="0.3">
      <c r="A54" s="58" t="s">
        <v>20</v>
      </c>
      <c r="B54" s="47" t="s">
        <v>113</v>
      </c>
      <c r="C54" s="41" t="s">
        <v>621</v>
      </c>
      <c r="D54" s="41"/>
      <c r="E54" s="41"/>
      <c r="F54" s="41"/>
      <c r="G54" s="41"/>
      <c r="H54" s="10">
        <v>3.8</v>
      </c>
      <c r="I54" s="54">
        <f>VLOOKUP(A54,İstasyonlar!$A$2:$D$776,4,0)</f>
        <v>1000000</v>
      </c>
      <c r="J54">
        <f t="shared" si="1"/>
        <v>21</v>
      </c>
      <c r="K54" t="str">
        <f t="shared" si="0"/>
        <v/>
      </c>
    </row>
    <row r="55" spans="1:11" x14ac:dyDescent="0.3">
      <c r="A55" s="58" t="s">
        <v>20</v>
      </c>
      <c r="B55" s="47" t="s">
        <v>114</v>
      </c>
      <c r="C55" s="41" t="s">
        <v>621</v>
      </c>
      <c r="D55" s="41"/>
      <c r="E55" s="41"/>
      <c r="F55" s="41"/>
      <c r="G55" s="41"/>
      <c r="H55" s="10">
        <v>3.6</v>
      </c>
      <c r="I55" s="54">
        <f>VLOOKUP(A55,İstasyonlar!$A$2:$D$776,4,0)</f>
        <v>1000000</v>
      </c>
      <c r="J55">
        <f t="shared" si="1"/>
        <v>21</v>
      </c>
      <c r="K55" t="str">
        <f t="shared" si="0"/>
        <v/>
      </c>
    </row>
    <row r="56" spans="1:11" x14ac:dyDescent="0.3">
      <c r="A56" s="58" t="s">
        <v>20</v>
      </c>
      <c r="B56" s="47" t="s">
        <v>115</v>
      </c>
      <c r="C56" s="41" t="s">
        <v>621</v>
      </c>
      <c r="D56" s="41"/>
      <c r="E56" s="41"/>
      <c r="F56" s="41"/>
      <c r="G56" s="41"/>
      <c r="H56" s="10">
        <v>3.4</v>
      </c>
      <c r="I56" s="54">
        <f>VLOOKUP(A56,İstasyonlar!$A$2:$D$776,4,0)</f>
        <v>1000000</v>
      </c>
      <c r="J56">
        <f t="shared" si="1"/>
        <v>21</v>
      </c>
      <c r="K56" t="str">
        <f t="shared" si="0"/>
        <v/>
      </c>
    </row>
    <row r="57" spans="1:11" x14ac:dyDescent="0.3">
      <c r="A57" s="58" t="s">
        <v>20</v>
      </c>
      <c r="B57" s="47" t="s">
        <v>116</v>
      </c>
      <c r="C57" s="41" t="s">
        <v>621</v>
      </c>
      <c r="D57" s="41"/>
      <c r="E57" s="41"/>
      <c r="F57" s="41"/>
      <c r="G57" s="41"/>
      <c r="H57" s="10">
        <v>3.8</v>
      </c>
      <c r="I57" s="54">
        <f>VLOOKUP(A57,İstasyonlar!$A$2:$D$776,4,0)</f>
        <v>1000000</v>
      </c>
      <c r="J57">
        <f t="shared" si="1"/>
        <v>21</v>
      </c>
      <c r="K57" t="str">
        <f t="shared" si="0"/>
        <v/>
      </c>
    </row>
    <row r="58" spans="1:11" x14ac:dyDescent="0.3">
      <c r="A58" s="58" t="s">
        <v>20</v>
      </c>
      <c r="B58" s="47" t="s">
        <v>117</v>
      </c>
      <c r="C58" s="41" t="s">
        <v>621</v>
      </c>
      <c r="D58" s="41"/>
      <c r="E58" s="41"/>
      <c r="F58" s="41"/>
      <c r="G58" s="41"/>
      <c r="H58" s="10">
        <v>3.1</v>
      </c>
      <c r="I58" s="54">
        <f>VLOOKUP(A58,İstasyonlar!$A$2:$D$776,4,0)</f>
        <v>1000000</v>
      </c>
      <c r="J58">
        <f t="shared" si="1"/>
        <v>21</v>
      </c>
      <c r="K58" t="str">
        <f t="shared" si="0"/>
        <v/>
      </c>
    </row>
    <row r="59" spans="1:11" x14ac:dyDescent="0.3">
      <c r="A59" s="58" t="s">
        <v>21</v>
      </c>
      <c r="B59" s="47" t="s">
        <v>119</v>
      </c>
      <c r="C59" s="41" t="s">
        <v>602</v>
      </c>
      <c r="D59" s="41" t="s">
        <v>601</v>
      </c>
      <c r="E59" s="41"/>
      <c r="F59" s="41"/>
      <c r="G59" s="41"/>
      <c r="H59" s="10">
        <v>8.8000000000000007</v>
      </c>
      <c r="I59" s="54">
        <f>VLOOKUP(A59,İstasyonlar!$A$2:$D$776,4,0)</f>
        <v>1000000</v>
      </c>
      <c r="J59">
        <f t="shared" si="1"/>
        <v>22</v>
      </c>
      <c r="K59" t="str">
        <f t="shared" si="0"/>
        <v/>
      </c>
    </row>
    <row r="60" spans="1:11" x14ac:dyDescent="0.3">
      <c r="A60" s="58" t="s">
        <v>21</v>
      </c>
      <c r="B60" s="47" t="s">
        <v>120</v>
      </c>
      <c r="C60" s="41" t="s">
        <v>602</v>
      </c>
      <c r="D60" s="41" t="s">
        <v>601</v>
      </c>
      <c r="E60" s="41"/>
      <c r="F60" s="41"/>
      <c r="G60" s="41"/>
      <c r="H60" s="10">
        <v>4.0999999999999996</v>
      </c>
      <c r="I60" s="54">
        <f>VLOOKUP(A60,İstasyonlar!$A$2:$D$776,4,0)</f>
        <v>1000000</v>
      </c>
      <c r="J60">
        <f t="shared" si="1"/>
        <v>22</v>
      </c>
      <c r="K60" t="str">
        <f t="shared" si="0"/>
        <v/>
      </c>
    </row>
    <row r="61" spans="1:11" x14ac:dyDescent="0.3">
      <c r="A61" s="58" t="s">
        <v>22</v>
      </c>
      <c r="B61" s="47" t="s">
        <v>121</v>
      </c>
      <c r="C61" s="41" t="s">
        <v>603</v>
      </c>
      <c r="D61" s="41" t="s">
        <v>622</v>
      </c>
      <c r="E61" s="41"/>
      <c r="F61" s="41"/>
      <c r="G61" s="41"/>
      <c r="H61" s="10">
        <v>4.4000000000000004</v>
      </c>
      <c r="I61" s="54">
        <f>VLOOKUP(A61,İstasyonlar!$A$2:$D$776,4,0)</f>
        <v>999999999</v>
      </c>
      <c r="J61">
        <f t="shared" si="1"/>
        <v>23</v>
      </c>
      <c r="K61" t="str">
        <f t="shared" si="0"/>
        <v>Sabit</v>
      </c>
    </row>
    <row r="62" spans="1:11" x14ac:dyDescent="0.3">
      <c r="A62" s="58" t="s">
        <v>22</v>
      </c>
      <c r="B62" s="47" t="s">
        <v>124</v>
      </c>
      <c r="C62" s="41" t="s">
        <v>603</v>
      </c>
      <c r="D62" s="41" t="s">
        <v>622</v>
      </c>
      <c r="E62" s="41"/>
      <c r="F62" s="41"/>
      <c r="G62" s="41"/>
      <c r="H62" s="10">
        <v>6.5</v>
      </c>
      <c r="I62" s="54">
        <f>VLOOKUP(A62,İstasyonlar!$A$2:$D$776,4,0)</f>
        <v>999999999</v>
      </c>
      <c r="J62">
        <f t="shared" si="1"/>
        <v>23</v>
      </c>
      <c r="K62" t="str">
        <f t="shared" si="0"/>
        <v>Sabit</v>
      </c>
    </row>
    <row r="63" spans="1:11" x14ac:dyDescent="0.3">
      <c r="A63" s="58" t="s">
        <v>23</v>
      </c>
      <c r="B63" s="47" t="s">
        <v>125</v>
      </c>
      <c r="C63" s="41" t="s">
        <v>622</v>
      </c>
      <c r="D63" s="41" t="s">
        <v>623</v>
      </c>
      <c r="E63" s="41" t="s">
        <v>624</v>
      </c>
      <c r="F63" s="41"/>
      <c r="G63" s="41"/>
      <c r="H63" s="10">
        <v>5.8</v>
      </c>
      <c r="I63" s="54">
        <f>VLOOKUP(A63,İstasyonlar!$A$2:$D$776,4,0)</f>
        <v>999999999</v>
      </c>
      <c r="J63">
        <f t="shared" si="1"/>
        <v>24</v>
      </c>
      <c r="K63" t="str">
        <f t="shared" si="0"/>
        <v>Sabit</v>
      </c>
    </row>
    <row r="64" spans="1:11" x14ac:dyDescent="0.3">
      <c r="A64" s="58" t="s">
        <v>23</v>
      </c>
      <c r="B64" s="47" t="s">
        <v>126</v>
      </c>
      <c r="C64" s="41" t="s">
        <v>622</v>
      </c>
      <c r="D64" s="41" t="s">
        <v>623</v>
      </c>
      <c r="E64" s="41" t="s">
        <v>624</v>
      </c>
      <c r="F64" s="41"/>
      <c r="G64" s="41"/>
      <c r="H64" s="10">
        <v>3.6</v>
      </c>
      <c r="I64" s="54">
        <f>VLOOKUP(A64,İstasyonlar!$A$2:$D$776,4,0)</f>
        <v>999999999</v>
      </c>
      <c r="J64">
        <f t="shared" si="1"/>
        <v>24</v>
      </c>
      <c r="K64" t="str">
        <f t="shared" si="0"/>
        <v>Sabit</v>
      </c>
    </row>
    <row r="65" spans="1:11" x14ac:dyDescent="0.3">
      <c r="A65" s="58" t="s">
        <v>23</v>
      </c>
      <c r="B65" s="47" t="s">
        <v>127</v>
      </c>
      <c r="C65" s="41" t="s">
        <v>622</v>
      </c>
      <c r="D65" s="41" t="s">
        <v>623</v>
      </c>
      <c r="E65" s="41" t="s">
        <v>624</v>
      </c>
      <c r="F65" s="41"/>
      <c r="G65" s="41"/>
      <c r="H65" s="10">
        <v>3.6</v>
      </c>
      <c r="I65" s="54">
        <f>VLOOKUP(A65,İstasyonlar!$A$2:$D$776,4,0)</f>
        <v>999999999</v>
      </c>
      <c r="J65">
        <f t="shared" si="1"/>
        <v>24</v>
      </c>
      <c r="K65" t="str">
        <f t="shared" si="0"/>
        <v>Sabit</v>
      </c>
    </row>
    <row r="66" spans="1:11" x14ac:dyDescent="0.3">
      <c r="A66" s="58" t="s">
        <v>23</v>
      </c>
      <c r="B66" s="47" t="s">
        <v>128</v>
      </c>
      <c r="C66" s="41" t="s">
        <v>622</v>
      </c>
      <c r="D66" s="41" t="s">
        <v>623</v>
      </c>
      <c r="E66" s="41" t="s">
        <v>624</v>
      </c>
      <c r="F66" s="41"/>
      <c r="G66" s="41"/>
      <c r="H66" s="10">
        <v>3.6</v>
      </c>
      <c r="I66" s="54">
        <f>VLOOKUP(A66,İstasyonlar!$A$2:$D$776,4,0)</f>
        <v>999999999</v>
      </c>
      <c r="J66">
        <f t="shared" si="1"/>
        <v>24</v>
      </c>
      <c r="K66" t="str">
        <f t="shared" ref="K66:K129" si="2">IF(I66=1000000,"","Sabit")</f>
        <v>Sabit</v>
      </c>
    </row>
    <row r="67" spans="1:11" x14ac:dyDescent="0.3">
      <c r="A67" s="58" t="s">
        <v>23</v>
      </c>
      <c r="B67" s="47" t="s">
        <v>130</v>
      </c>
      <c r="C67" s="41" t="s">
        <v>622</v>
      </c>
      <c r="D67" s="41" t="s">
        <v>623</v>
      </c>
      <c r="E67" s="41" t="s">
        <v>624</v>
      </c>
      <c r="F67" s="41"/>
      <c r="G67" s="41"/>
      <c r="H67" s="10">
        <v>3.1</v>
      </c>
      <c r="I67" s="54">
        <f>VLOOKUP(A67,İstasyonlar!$A$2:$D$776,4,0)</f>
        <v>999999999</v>
      </c>
      <c r="J67">
        <f t="shared" ref="J67:J130" si="3">IF(A67=A66, J66, J66+1)</f>
        <v>24</v>
      </c>
      <c r="K67" t="str">
        <f t="shared" si="2"/>
        <v>Sabit</v>
      </c>
    </row>
    <row r="68" spans="1:11" x14ac:dyDescent="0.3">
      <c r="A68" s="58" t="s">
        <v>18</v>
      </c>
      <c r="B68" s="47" t="s">
        <v>131</v>
      </c>
      <c r="C68" s="41" t="s">
        <v>620</v>
      </c>
      <c r="D68" s="41" t="s">
        <v>617</v>
      </c>
      <c r="E68" s="41"/>
      <c r="F68" s="41"/>
      <c r="G68" s="41"/>
      <c r="H68" s="10">
        <v>3.5</v>
      </c>
      <c r="I68" s="54">
        <f>VLOOKUP(A68,İstasyonlar!$A$2:$D$776,4,0)</f>
        <v>1000000</v>
      </c>
      <c r="J68">
        <f t="shared" si="3"/>
        <v>25</v>
      </c>
      <c r="K68" t="str">
        <f t="shared" si="2"/>
        <v/>
      </c>
    </row>
    <row r="69" spans="1:11" x14ac:dyDescent="0.3">
      <c r="A69" s="58" t="s">
        <v>18</v>
      </c>
      <c r="B69" s="47" t="s">
        <v>132</v>
      </c>
      <c r="C69" s="41" t="s">
        <v>620</v>
      </c>
      <c r="D69" s="41" t="s">
        <v>617</v>
      </c>
      <c r="E69" s="41"/>
      <c r="F69" s="41"/>
      <c r="G69" s="41"/>
      <c r="H69" s="10">
        <v>4.5</v>
      </c>
      <c r="I69" s="54">
        <f>VLOOKUP(A69,İstasyonlar!$A$2:$D$776,4,0)</f>
        <v>1000000</v>
      </c>
      <c r="J69">
        <f t="shared" si="3"/>
        <v>25</v>
      </c>
      <c r="K69" t="str">
        <f t="shared" si="2"/>
        <v/>
      </c>
    </row>
    <row r="70" spans="1:11" x14ac:dyDescent="0.3">
      <c r="A70" s="58" t="s">
        <v>18</v>
      </c>
      <c r="B70" s="47" t="s">
        <v>133</v>
      </c>
      <c r="C70" s="41" t="s">
        <v>620</v>
      </c>
      <c r="D70" s="41" t="s">
        <v>617</v>
      </c>
      <c r="E70" s="41"/>
      <c r="F70" s="41"/>
      <c r="G70" s="41"/>
      <c r="H70" s="10">
        <v>4.2</v>
      </c>
      <c r="I70" s="54">
        <f>VLOOKUP(A70,İstasyonlar!$A$2:$D$776,4,0)</f>
        <v>1000000</v>
      </c>
      <c r="J70">
        <f t="shared" si="3"/>
        <v>25</v>
      </c>
      <c r="K70" t="str">
        <f t="shared" si="2"/>
        <v/>
      </c>
    </row>
    <row r="71" spans="1:11" x14ac:dyDescent="0.3">
      <c r="A71" s="58" t="s">
        <v>18</v>
      </c>
      <c r="B71" s="47" t="s">
        <v>134</v>
      </c>
      <c r="C71" s="41" t="s">
        <v>620</v>
      </c>
      <c r="D71" s="41" t="s">
        <v>617</v>
      </c>
      <c r="E71" s="41"/>
      <c r="F71" s="41"/>
      <c r="G71" s="41"/>
      <c r="H71" s="10">
        <v>2.8</v>
      </c>
      <c r="I71" s="54">
        <f>VLOOKUP(A71,İstasyonlar!$A$2:$D$776,4,0)</f>
        <v>1000000</v>
      </c>
      <c r="J71">
        <f t="shared" si="3"/>
        <v>25</v>
      </c>
      <c r="K71" t="str">
        <f t="shared" si="2"/>
        <v/>
      </c>
    </row>
    <row r="72" spans="1:11" x14ac:dyDescent="0.3">
      <c r="A72" s="58" t="s">
        <v>19</v>
      </c>
      <c r="B72" s="47" t="s">
        <v>135</v>
      </c>
      <c r="C72" s="41" t="s">
        <v>625</v>
      </c>
      <c r="D72" s="41" t="s">
        <v>620</v>
      </c>
      <c r="E72" s="41" t="s">
        <v>617</v>
      </c>
      <c r="F72" s="41"/>
      <c r="G72" s="41"/>
      <c r="H72" s="10">
        <v>3.5</v>
      </c>
      <c r="I72" s="54">
        <f>VLOOKUP(A72,İstasyonlar!$A$2:$D$776,4,0)</f>
        <v>1000000</v>
      </c>
      <c r="J72">
        <f t="shared" si="3"/>
        <v>26</v>
      </c>
      <c r="K72" t="str">
        <f t="shared" si="2"/>
        <v/>
      </c>
    </row>
    <row r="73" spans="1:11" x14ac:dyDescent="0.3">
      <c r="A73" s="58" t="s">
        <v>19</v>
      </c>
      <c r="B73" s="47" t="s">
        <v>136</v>
      </c>
      <c r="C73" s="41" t="s">
        <v>625</v>
      </c>
      <c r="D73" s="41" t="s">
        <v>620</v>
      </c>
      <c r="E73" s="41" t="s">
        <v>617</v>
      </c>
      <c r="F73" s="41"/>
      <c r="G73" s="41"/>
      <c r="H73" s="10">
        <v>3.8</v>
      </c>
      <c r="I73" s="54">
        <f>VLOOKUP(A73,İstasyonlar!$A$2:$D$776,4,0)</f>
        <v>1000000</v>
      </c>
      <c r="J73">
        <f t="shared" si="3"/>
        <v>26</v>
      </c>
      <c r="K73" t="str">
        <f t="shared" si="2"/>
        <v/>
      </c>
    </row>
    <row r="74" spans="1:11" x14ac:dyDescent="0.3">
      <c r="A74" s="58" t="s">
        <v>19</v>
      </c>
      <c r="B74" s="47" t="s">
        <v>137</v>
      </c>
      <c r="C74" s="41" t="s">
        <v>625</v>
      </c>
      <c r="D74" s="41" t="s">
        <v>620</v>
      </c>
      <c r="E74" s="41" t="s">
        <v>617</v>
      </c>
      <c r="F74" s="41"/>
      <c r="G74" s="41"/>
      <c r="H74" s="10">
        <v>4.8</v>
      </c>
      <c r="I74" s="54">
        <f>VLOOKUP(A74,İstasyonlar!$A$2:$D$776,4,0)</f>
        <v>1000000</v>
      </c>
      <c r="J74">
        <f t="shared" si="3"/>
        <v>26</v>
      </c>
      <c r="K74" t="str">
        <f t="shared" si="2"/>
        <v/>
      </c>
    </row>
    <row r="75" spans="1:11" x14ac:dyDescent="0.3">
      <c r="A75" s="58" t="s">
        <v>24</v>
      </c>
      <c r="B75" s="47" t="s">
        <v>138</v>
      </c>
      <c r="C75" s="41" t="s">
        <v>624</v>
      </c>
      <c r="D75" s="41"/>
      <c r="E75" s="41"/>
      <c r="F75" s="41"/>
      <c r="G75" s="41"/>
      <c r="H75" s="10">
        <v>3.1</v>
      </c>
      <c r="I75" s="54">
        <f>VLOOKUP(A75,İstasyonlar!$A$2:$D$776,4,0)</f>
        <v>1000000</v>
      </c>
      <c r="J75">
        <f t="shared" si="3"/>
        <v>27</v>
      </c>
      <c r="K75" t="str">
        <f t="shared" si="2"/>
        <v/>
      </c>
    </row>
    <row r="76" spans="1:11" x14ac:dyDescent="0.3">
      <c r="A76" s="58" t="s">
        <v>24</v>
      </c>
      <c r="B76" s="47" t="s">
        <v>139</v>
      </c>
      <c r="C76" s="41" t="s">
        <v>624</v>
      </c>
      <c r="D76" s="41"/>
      <c r="E76" s="41"/>
      <c r="F76" s="41"/>
      <c r="G76" s="41"/>
      <c r="H76" s="10">
        <v>3.5</v>
      </c>
      <c r="I76" s="54">
        <f>VLOOKUP(A76,İstasyonlar!$A$2:$D$776,4,0)</f>
        <v>1000000</v>
      </c>
      <c r="J76">
        <f t="shared" si="3"/>
        <v>27</v>
      </c>
      <c r="K76" t="str">
        <f t="shared" si="2"/>
        <v/>
      </c>
    </row>
    <row r="77" spans="1:11" x14ac:dyDescent="0.3">
      <c r="A77" s="58" t="s">
        <v>24</v>
      </c>
      <c r="B77" s="47" t="s">
        <v>140</v>
      </c>
      <c r="C77" s="41" t="s">
        <v>624</v>
      </c>
      <c r="D77" s="41"/>
      <c r="E77" s="41"/>
      <c r="F77" s="41"/>
      <c r="G77" s="41"/>
      <c r="H77" s="10">
        <v>3.1</v>
      </c>
      <c r="I77" s="54">
        <f>VLOOKUP(A77,İstasyonlar!$A$2:$D$776,4,0)</f>
        <v>1000000</v>
      </c>
      <c r="J77">
        <f t="shared" si="3"/>
        <v>27</v>
      </c>
      <c r="K77" t="str">
        <f t="shared" si="2"/>
        <v/>
      </c>
    </row>
    <row r="78" spans="1:11" x14ac:dyDescent="0.3">
      <c r="A78" s="58" t="s">
        <v>24</v>
      </c>
      <c r="B78" s="47" t="s">
        <v>141</v>
      </c>
      <c r="C78" s="41" t="s">
        <v>624</v>
      </c>
      <c r="D78" s="41"/>
      <c r="E78" s="41"/>
      <c r="F78" s="41"/>
      <c r="G78" s="41"/>
      <c r="H78" s="10">
        <v>4.5</v>
      </c>
      <c r="I78" s="54">
        <f>VLOOKUP(A78,İstasyonlar!$A$2:$D$776,4,0)</f>
        <v>1000000</v>
      </c>
      <c r="J78">
        <f t="shared" si="3"/>
        <v>27</v>
      </c>
      <c r="K78" t="str">
        <f t="shared" si="2"/>
        <v/>
      </c>
    </row>
    <row r="79" spans="1:11" x14ac:dyDescent="0.3">
      <c r="A79" s="58" t="s">
        <v>25</v>
      </c>
      <c r="B79" s="47" t="s">
        <v>142</v>
      </c>
      <c r="C79" s="41" t="s">
        <v>626</v>
      </c>
      <c r="D79" s="41"/>
      <c r="E79" s="41"/>
      <c r="F79" s="41"/>
      <c r="G79" s="41"/>
      <c r="H79" s="10">
        <v>6.2</v>
      </c>
      <c r="I79" s="54">
        <f>VLOOKUP(A79,İstasyonlar!$A$2:$D$776,4,0)</f>
        <v>1000000</v>
      </c>
      <c r="J79">
        <f t="shared" si="3"/>
        <v>28</v>
      </c>
      <c r="K79" t="str">
        <f t="shared" si="2"/>
        <v/>
      </c>
    </row>
    <row r="80" spans="1:11" x14ac:dyDescent="0.3">
      <c r="A80" s="58" t="s">
        <v>25</v>
      </c>
      <c r="B80" s="47" t="s">
        <v>145</v>
      </c>
      <c r="C80" s="41" t="s">
        <v>626</v>
      </c>
      <c r="D80" s="41"/>
      <c r="E80" s="41"/>
      <c r="F80" s="41"/>
      <c r="G80" s="41"/>
      <c r="H80" s="10">
        <v>2.5</v>
      </c>
      <c r="I80" s="54">
        <f>VLOOKUP(A80,İstasyonlar!$A$2:$D$776,4,0)</f>
        <v>1000000</v>
      </c>
      <c r="J80">
        <f t="shared" si="3"/>
        <v>28</v>
      </c>
      <c r="K80" t="str">
        <f t="shared" si="2"/>
        <v/>
      </c>
    </row>
    <row r="81" spans="1:11" x14ac:dyDescent="0.3">
      <c r="A81" s="58" t="s">
        <v>25</v>
      </c>
      <c r="B81" s="47" t="s">
        <v>144</v>
      </c>
      <c r="C81" s="41" t="s">
        <v>626</v>
      </c>
      <c r="D81" s="41"/>
      <c r="E81" s="41"/>
      <c r="F81" s="41"/>
      <c r="G81" s="41"/>
      <c r="H81" s="10">
        <v>2.5</v>
      </c>
      <c r="I81" s="54">
        <f>VLOOKUP(A81,İstasyonlar!$A$2:$D$776,4,0)</f>
        <v>1000000</v>
      </c>
      <c r="J81">
        <f t="shared" si="3"/>
        <v>28</v>
      </c>
      <c r="K81" t="str">
        <f t="shared" si="2"/>
        <v/>
      </c>
    </row>
    <row r="82" spans="1:11" x14ac:dyDescent="0.3">
      <c r="A82" s="58" t="s">
        <v>26</v>
      </c>
      <c r="B82" s="47" t="s">
        <v>146</v>
      </c>
      <c r="C82" s="41" t="s">
        <v>627</v>
      </c>
      <c r="D82" s="41" t="s">
        <v>628</v>
      </c>
      <c r="E82" s="41" t="s">
        <v>626</v>
      </c>
      <c r="F82" s="41"/>
      <c r="G82" s="41"/>
      <c r="H82" s="10">
        <v>1</v>
      </c>
      <c r="I82" s="54">
        <f>VLOOKUP(A82,İstasyonlar!$A$2:$D$776,4,0)</f>
        <v>1000000</v>
      </c>
      <c r="J82">
        <f t="shared" si="3"/>
        <v>29</v>
      </c>
      <c r="K82" t="str">
        <f t="shared" si="2"/>
        <v/>
      </c>
    </row>
    <row r="83" spans="1:11" x14ac:dyDescent="0.3">
      <c r="A83" s="58" t="s">
        <v>26</v>
      </c>
      <c r="B83" s="47" t="s">
        <v>147</v>
      </c>
      <c r="C83" s="41" t="s">
        <v>627</v>
      </c>
      <c r="D83" s="41" t="s">
        <v>628</v>
      </c>
      <c r="E83" s="41" t="s">
        <v>626</v>
      </c>
      <c r="F83" s="41"/>
      <c r="G83" s="41"/>
      <c r="H83" s="10">
        <v>2.4</v>
      </c>
      <c r="I83" s="54">
        <f>VLOOKUP(A83,İstasyonlar!$A$2:$D$776,4,0)</f>
        <v>1000000</v>
      </c>
      <c r="J83">
        <f t="shared" si="3"/>
        <v>29</v>
      </c>
      <c r="K83" t="str">
        <f t="shared" si="2"/>
        <v/>
      </c>
    </row>
    <row r="84" spans="1:11" x14ac:dyDescent="0.3">
      <c r="A84" s="58" t="s">
        <v>26</v>
      </c>
      <c r="B84" s="47" t="s">
        <v>148</v>
      </c>
      <c r="C84" s="41" t="s">
        <v>627</v>
      </c>
      <c r="D84" s="41" t="s">
        <v>628</v>
      </c>
      <c r="E84" s="41" t="s">
        <v>626</v>
      </c>
      <c r="F84" s="41"/>
      <c r="G84" s="41"/>
      <c r="H84" s="10">
        <v>4.0999999999999996</v>
      </c>
      <c r="I84" s="54">
        <f>VLOOKUP(A84,İstasyonlar!$A$2:$D$776,4,0)</f>
        <v>1000000</v>
      </c>
      <c r="J84">
        <f t="shared" si="3"/>
        <v>29</v>
      </c>
      <c r="K84" t="str">
        <f t="shared" si="2"/>
        <v/>
      </c>
    </row>
    <row r="85" spans="1:11" x14ac:dyDescent="0.3">
      <c r="A85" s="58" t="s">
        <v>26</v>
      </c>
      <c r="B85" s="47" t="s">
        <v>149</v>
      </c>
      <c r="C85" s="41" t="s">
        <v>627</v>
      </c>
      <c r="D85" s="41" t="s">
        <v>628</v>
      </c>
      <c r="E85" s="41" t="s">
        <v>626</v>
      </c>
      <c r="F85" s="41"/>
      <c r="G85" s="41"/>
      <c r="H85" s="10">
        <v>3.8</v>
      </c>
      <c r="I85" s="54">
        <f>VLOOKUP(A85,İstasyonlar!$A$2:$D$776,4,0)</f>
        <v>1000000</v>
      </c>
      <c r="J85">
        <f t="shared" si="3"/>
        <v>29</v>
      </c>
      <c r="K85" t="str">
        <f t="shared" si="2"/>
        <v/>
      </c>
    </row>
    <row r="86" spans="1:11" x14ac:dyDescent="0.3">
      <c r="A86" s="58" t="s">
        <v>27</v>
      </c>
      <c r="B86" s="47" t="s">
        <v>150</v>
      </c>
      <c r="C86" s="41" t="s">
        <v>628</v>
      </c>
      <c r="D86" s="41" t="s">
        <v>627</v>
      </c>
      <c r="E86" s="41" t="s">
        <v>623</v>
      </c>
      <c r="F86" s="41" t="s">
        <v>626</v>
      </c>
      <c r="G86" s="41"/>
      <c r="H86" s="10">
        <v>12.5</v>
      </c>
      <c r="I86" s="54">
        <f>VLOOKUP(A86,İstasyonlar!$A$2:$D$776,4,0)</f>
        <v>1000000</v>
      </c>
      <c r="J86">
        <f t="shared" si="3"/>
        <v>30</v>
      </c>
      <c r="K86" t="str">
        <f t="shared" si="2"/>
        <v/>
      </c>
    </row>
    <row r="87" spans="1:11" x14ac:dyDescent="0.3">
      <c r="A87" s="58" t="s">
        <v>27</v>
      </c>
      <c r="B87" s="47" t="s">
        <v>151</v>
      </c>
      <c r="C87" s="41" t="s">
        <v>628</v>
      </c>
      <c r="D87" s="41" t="s">
        <v>627</v>
      </c>
      <c r="E87" s="41" t="s">
        <v>623</v>
      </c>
      <c r="F87" s="41" t="s">
        <v>626</v>
      </c>
      <c r="G87" s="41"/>
      <c r="H87" s="10">
        <v>6.1</v>
      </c>
      <c r="I87" s="54">
        <f>VLOOKUP(A87,İstasyonlar!$A$2:$D$776,4,0)</f>
        <v>1000000</v>
      </c>
      <c r="J87">
        <f t="shared" si="3"/>
        <v>30</v>
      </c>
      <c r="K87" t="str">
        <f t="shared" si="2"/>
        <v/>
      </c>
    </row>
    <row r="88" spans="1:11" x14ac:dyDescent="0.3">
      <c r="A88" s="58" t="s">
        <v>28</v>
      </c>
      <c r="B88" s="47" t="s">
        <v>152</v>
      </c>
      <c r="C88" s="41" t="s">
        <v>630</v>
      </c>
      <c r="D88" s="41"/>
      <c r="E88" s="41"/>
      <c r="F88" s="41"/>
      <c r="G88" s="41"/>
      <c r="H88" s="10">
        <v>4.5</v>
      </c>
      <c r="I88" s="54">
        <f>VLOOKUP(A88,İstasyonlar!$A$2:$D$776,4,0)</f>
        <v>1000000</v>
      </c>
      <c r="J88">
        <f t="shared" si="3"/>
        <v>31</v>
      </c>
      <c r="K88" t="str">
        <f t="shared" si="2"/>
        <v/>
      </c>
    </row>
    <row r="89" spans="1:11" x14ac:dyDescent="0.3">
      <c r="A89" s="58" t="s">
        <v>28</v>
      </c>
      <c r="B89" s="47" t="s">
        <v>153</v>
      </c>
      <c r="C89" s="41" t="s">
        <v>630</v>
      </c>
      <c r="D89" s="41"/>
      <c r="E89" s="41"/>
      <c r="F89" s="41"/>
      <c r="G89" s="41"/>
      <c r="H89" s="10">
        <v>3.5</v>
      </c>
      <c r="I89" s="54">
        <f>VLOOKUP(A89,İstasyonlar!$A$2:$D$776,4,0)</f>
        <v>1000000</v>
      </c>
      <c r="J89">
        <f t="shared" si="3"/>
        <v>31</v>
      </c>
      <c r="K89" t="str">
        <f t="shared" si="2"/>
        <v/>
      </c>
    </row>
    <row r="90" spans="1:11" x14ac:dyDescent="0.3">
      <c r="A90" s="58" t="s">
        <v>28</v>
      </c>
      <c r="B90" s="47" t="s">
        <v>154</v>
      </c>
      <c r="C90" s="41" t="s">
        <v>630</v>
      </c>
      <c r="D90" s="41"/>
      <c r="E90" s="41"/>
      <c r="F90" s="41"/>
      <c r="G90" s="41"/>
      <c r="H90" s="10">
        <v>3.1</v>
      </c>
      <c r="I90" s="54">
        <f>VLOOKUP(A90,İstasyonlar!$A$2:$D$776,4,0)</f>
        <v>1000000</v>
      </c>
      <c r="J90">
        <f t="shared" si="3"/>
        <v>31</v>
      </c>
      <c r="K90" t="str">
        <f t="shared" si="2"/>
        <v/>
      </c>
    </row>
    <row r="91" spans="1:11" x14ac:dyDescent="0.3">
      <c r="A91" s="58" t="s">
        <v>28</v>
      </c>
      <c r="B91" s="47" t="s">
        <v>155</v>
      </c>
      <c r="C91" s="41" t="s">
        <v>630</v>
      </c>
      <c r="D91" s="41"/>
      <c r="E91" s="41"/>
      <c r="F91" s="41"/>
      <c r="G91" s="41"/>
      <c r="H91" s="10">
        <v>3.1</v>
      </c>
      <c r="I91" s="54">
        <f>VLOOKUP(A91,İstasyonlar!$A$2:$D$776,4,0)</f>
        <v>1000000</v>
      </c>
      <c r="J91">
        <f t="shared" si="3"/>
        <v>31</v>
      </c>
      <c r="K91" t="str">
        <f t="shared" si="2"/>
        <v/>
      </c>
    </row>
    <row r="92" spans="1:11" x14ac:dyDescent="0.3">
      <c r="A92" s="58" t="s">
        <v>29</v>
      </c>
      <c r="B92" s="47" t="s">
        <v>156</v>
      </c>
      <c r="C92" s="41" t="s">
        <v>623</v>
      </c>
      <c r="D92" s="41" t="s">
        <v>626</v>
      </c>
      <c r="E92" s="41"/>
      <c r="F92" s="41"/>
      <c r="G92" s="41"/>
      <c r="H92" s="10">
        <v>9.1999999999999993</v>
      </c>
      <c r="I92" s="54">
        <f>VLOOKUP(A92,İstasyonlar!$A$2:$D$776,4,0)</f>
        <v>1000000</v>
      </c>
      <c r="J92">
        <f t="shared" si="3"/>
        <v>32</v>
      </c>
      <c r="K92" t="str">
        <f t="shared" si="2"/>
        <v/>
      </c>
    </row>
    <row r="93" spans="1:11" x14ac:dyDescent="0.3">
      <c r="A93" s="58" t="s">
        <v>29</v>
      </c>
      <c r="B93" s="47" t="s">
        <v>157</v>
      </c>
      <c r="C93" s="41" t="s">
        <v>623</v>
      </c>
      <c r="D93" s="41" t="s">
        <v>626</v>
      </c>
      <c r="E93" s="41"/>
      <c r="F93" s="41"/>
      <c r="G93" s="41"/>
      <c r="H93" s="10">
        <v>0.6</v>
      </c>
      <c r="I93" s="54">
        <f>VLOOKUP(A93,İstasyonlar!$A$2:$D$776,4,0)</f>
        <v>1000000</v>
      </c>
      <c r="J93">
        <f t="shared" si="3"/>
        <v>32</v>
      </c>
      <c r="K93" t="str">
        <f t="shared" si="2"/>
        <v/>
      </c>
    </row>
    <row r="94" spans="1:11" x14ac:dyDescent="0.3">
      <c r="A94" s="58" t="s">
        <v>29</v>
      </c>
      <c r="B94" s="47" t="s">
        <v>375</v>
      </c>
      <c r="C94" s="41" t="s">
        <v>623</v>
      </c>
      <c r="D94" s="41" t="s">
        <v>626</v>
      </c>
      <c r="E94" s="41"/>
      <c r="F94" s="41"/>
      <c r="G94" s="41"/>
      <c r="H94" s="10">
        <v>3.1</v>
      </c>
      <c r="I94" s="54">
        <f>VLOOKUP(A94,İstasyonlar!$A$2:$D$776,4,0)</f>
        <v>1000000</v>
      </c>
      <c r="J94">
        <f t="shared" si="3"/>
        <v>32</v>
      </c>
      <c r="K94" t="str">
        <f t="shared" si="2"/>
        <v/>
      </c>
    </row>
    <row r="95" spans="1:11" x14ac:dyDescent="0.3">
      <c r="A95" s="58" t="s">
        <v>29</v>
      </c>
      <c r="B95" s="47" t="s">
        <v>158</v>
      </c>
      <c r="C95" s="41" t="s">
        <v>623</v>
      </c>
      <c r="D95" s="41" t="s">
        <v>626</v>
      </c>
      <c r="E95" s="41"/>
      <c r="F95" s="41"/>
      <c r="G95" s="41"/>
      <c r="H95" s="10">
        <v>2.8</v>
      </c>
      <c r="I95" s="54">
        <f>VLOOKUP(A95,İstasyonlar!$A$2:$D$776,4,0)</f>
        <v>1000000</v>
      </c>
      <c r="J95">
        <f t="shared" si="3"/>
        <v>32</v>
      </c>
      <c r="K95" t="str">
        <f t="shared" si="2"/>
        <v/>
      </c>
    </row>
    <row r="96" spans="1:11" x14ac:dyDescent="0.3">
      <c r="A96" s="58" t="s">
        <v>57</v>
      </c>
      <c r="B96" s="47" t="s">
        <v>159</v>
      </c>
      <c r="C96" s="41" t="s">
        <v>631</v>
      </c>
      <c r="D96" s="41"/>
      <c r="E96" s="41"/>
      <c r="F96" s="41"/>
      <c r="G96" s="41"/>
      <c r="H96" s="10">
        <v>5.5</v>
      </c>
      <c r="I96" s="54">
        <f>VLOOKUP(A96,İstasyonlar!$A$2:$D$776,4,0)</f>
        <v>1000000</v>
      </c>
      <c r="J96">
        <f t="shared" si="3"/>
        <v>33</v>
      </c>
      <c r="K96" t="str">
        <f t="shared" si="2"/>
        <v/>
      </c>
    </row>
    <row r="97" spans="1:11" x14ac:dyDescent="0.3">
      <c r="A97" s="58" t="s">
        <v>57</v>
      </c>
      <c r="B97" s="47" t="s">
        <v>160</v>
      </c>
      <c r="C97" s="41" t="s">
        <v>631</v>
      </c>
      <c r="D97" s="41"/>
      <c r="E97" s="41"/>
      <c r="F97" s="41"/>
      <c r="G97" s="41"/>
      <c r="H97" s="10">
        <v>3.1</v>
      </c>
      <c r="I97" s="54">
        <f>VLOOKUP(A97,İstasyonlar!$A$2:$D$776,4,0)</f>
        <v>1000000</v>
      </c>
      <c r="J97">
        <f t="shared" si="3"/>
        <v>33</v>
      </c>
      <c r="K97" t="str">
        <f t="shared" si="2"/>
        <v/>
      </c>
    </row>
    <row r="98" spans="1:11" x14ac:dyDescent="0.3">
      <c r="A98" s="58" t="s">
        <v>57</v>
      </c>
      <c r="B98" s="47" t="s">
        <v>161</v>
      </c>
      <c r="C98" s="41" t="s">
        <v>631</v>
      </c>
      <c r="D98" s="41"/>
      <c r="E98" s="41"/>
      <c r="F98" s="41"/>
      <c r="G98" s="41"/>
      <c r="H98" s="10">
        <v>3.1</v>
      </c>
      <c r="I98" s="54">
        <f>VLOOKUP(A98,İstasyonlar!$A$2:$D$776,4,0)</f>
        <v>1000000</v>
      </c>
      <c r="J98">
        <f t="shared" si="3"/>
        <v>33</v>
      </c>
      <c r="K98" t="str">
        <f t="shared" si="2"/>
        <v/>
      </c>
    </row>
    <row r="99" spans="1:11" x14ac:dyDescent="0.3">
      <c r="A99" s="58" t="s">
        <v>57</v>
      </c>
      <c r="B99" s="47" t="s">
        <v>162</v>
      </c>
      <c r="C99" s="41" t="s">
        <v>631</v>
      </c>
      <c r="D99" s="41"/>
      <c r="E99" s="41"/>
      <c r="F99" s="41"/>
      <c r="G99" s="41"/>
      <c r="H99" s="10">
        <v>2.5</v>
      </c>
      <c r="I99" s="54">
        <f>VLOOKUP(A99,İstasyonlar!$A$2:$D$776,4,0)</f>
        <v>1000000</v>
      </c>
      <c r="J99">
        <f t="shared" si="3"/>
        <v>33</v>
      </c>
      <c r="K99" t="str">
        <f t="shared" si="2"/>
        <v/>
      </c>
    </row>
    <row r="100" spans="1:11" x14ac:dyDescent="0.3">
      <c r="A100" s="58" t="s">
        <v>32</v>
      </c>
      <c r="B100" s="47" t="s">
        <v>163</v>
      </c>
      <c r="C100" s="41" t="s">
        <v>632</v>
      </c>
      <c r="D100" s="41" t="s">
        <v>631</v>
      </c>
      <c r="E100" s="41"/>
      <c r="F100" s="41"/>
      <c r="G100" s="41"/>
      <c r="H100" s="10">
        <v>0.5</v>
      </c>
      <c r="I100" s="54">
        <f>VLOOKUP(A100,İstasyonlar!$A$2:$D$776,4,0)</f>
        <v>1000000</v>
      </c>
      <c r="J100">
        <f t="shared" si="3"/>
        <v>34</v>
      </c>
      <c r="K100" t="str">
        <f t="shared" si="2"/>
        <v/>
      </c>
    </row>
    <row r="101" spans="1:11" x14ac:dyDescent="0.3">
      <c r="A101" s="58" t="s">
        <v>32</v>
      </c>
      <c r="B101" s="47" t="s">
        <v>164</v>
      </c>
      <c r="C101" s="41" t="s">
        <v>632</v>
      </c>
      <c r="D101" s="41" t="s">
        <v>631</v>
      </c>
      <c r="E101" s="41"/>
      <c r="F101" s="41"/>
      <c r="G101" s="41"/>
      <c r="H101" s="10">
        <v>5.8</v>
      </c>
      <c r="I101" s="54">
        <f>VLOOKUP(A101,İstasyonlar!$A$2:$D$776,4,0)</f>
        <v>1000000</v>
      </c>
      <c r="J101">
        <f t="shared" si="3"/>
        <v>34</v>
      </c>
      <c r="K101" t="str">
        <f t="shared" si="2"/>
        <v/>
      </c>
    </row>
    <row r="102" spans="1:11" x14ac:dyDescent="0.3">
      <c r="A102" s="58" t="s">
        <v>32</v>
      </c>
      <c r="B102" s="47" t="s">
        <v>165</v>
      </c>
      <c r="C102" s="41" t="s">
        <v>632</v>
      </c>
      <c r="D102" s="41" t="s">
        <v>631</v>
      </c>
      <c r="E102" s="41"/>
      <c r="F102" s="41"/>
      <c r="G102" s="41"/>
      <c r="H102" s="10">
        <v>5.0999999999999996</v>
      </c>
      <c r="I102" s="54">
        <f>VLOOKUP(A102,İstasyonlar!$A$2:$D$776,4,0)</f>
        <v>1000000</v>
      </c>
      <c r="J102">
        <f t="shared" si="3"/>
        <v>34</v>
      </c>
      <c r="K102" t="str">
        <f t="shared" si="2"/>
        <v/>
      </c>
    </row>
    <row r="103" spans="1:11" x14ac:dyDescent="0.3">
      <c r="A103" s="58" t="s">
        <v>32</v>
      </c>
      <c r="B103" s="47" t="s">
        <v>166</v>
      </c>
      <c r="C103" s="41" t="s">
        <v>632</v>
      </c>
      <c r="D103" s="41" t="s">
        <v>631</v>
      </c>
      <c r="E103" s="41"/>
      <c r="F103" s="41"/>
      <c r="G103" s="41"/>
      <c r="H103" s="10">
        <v>6.8</v>
      </c>
      <c r="I103" s="54">
        <f>VLOOKUP(A103,İstasyonlar!$A$2:$D$776,4,0)</f>
        <v>1000000</v>
      </c>
      <c r="J103">
        <f t="shared" si="3"/>
        <v>34</v>
      </c>
      <c r="K103" t="str">
        <f t="shared" si="2"/>
        <v/>
      </c>
    </row>
    <row r="104" spans="1:11" x14ac:dyDescent="0.3">
      <c r="A104" s="58" t="s">
        <v>32</v>
      </c>
      <c r="B104" s="47" t="s">
        <v>167</v>
      </c>
      <c r="C104" s="41" t="s">
        <v>632</v>
      </c>
      <c r="D104" s="41" t="s">
        <v>631</v>
      </c>
      <c r="E104" s="41"/>
      <c r="F104" s="41"/>
      <c r="G104" s="41"/>
      <c r="H104" s="10">
        <v>0.5</v>
      </c>
      <c r="I104" s="54">
        <f>VLOOKUP(A104,İstasyonlar!$A$2:$D$776,4,0)</f>
        <v>1000000</v>
      </c>
      <c r="J104">
        <f t="shared" si="3"/>
        <v>34</v>
      </c>
      <c r="K104" t="str">
        <f t="shared" si="2"/>
        <v/>
      </c>
    </row>
    <row r="105" spans="1:11" x14ac:dyDescent="0.3">
      <c r="A105" s="58" t="s">
        <v>33</v>
      </c>
      <c r="B105" s="47" t="s">
        <v>168</v>
      </c>
      <c r="C105" s="41" t="s">
        <v>635</v>
      </c>
      <c r="D105" s="41"/>
      <c r="E105" s="41"/>
      <c r="F105" s="41"/>
      <c r="G105" s="41"/>
      <c r="H105" s="10">
        <v>3.1</v>
      </c>
      <c r="I105" s="54">
        <f>VLOOKUP(A105,İstasyonlar!$A$2:$D$776,4,0)</f>
        <v>1000000</v>
      </c>
      <c r="J105">
        <f t="shared" si="3"/>
        <v>35</v>
      </c>
      <c r="K105" t="str">
        <f t="shared" si="2"/>
        <v/>
      </c>
    </row>
    <row r="106" spans="1:11" x14ac:dyDescent="0.3">
      <c r="A106" s="58" t="s">
        <v>33</v>
      </c>
      <c r="B106" s="47" t="s">
        <v>169</v>
      </c>
      <c r="C106" s="41" t="s">
        <v>635</v>
      </c>
      <c r="D106" s="41"/>
      <c r="E106" s="41"/>
      <c r="F106" s="41"/>
      <c r="G106" s="41"/>
      <c r="H106" s="10">
        <v>4.9000000000000004</v>
      </c>
      <c r="I106" s="54">
        <f>VLOOKUP(A106,İstasyonlar!$A$2:$D$776,4,0)</f>
        <v>1000000</v>
      </c>
      <c r="J106">
        <f t="shared" si="3"/>
        <v>35</v>
      </c>
      <c r="K106" t="str">
        <f t="shared" si="2"/>
        <v/>
      </c>
    </row>
    <row r="107" spans="1:11" x14ac:dyDescent="0.3">
      <c r="A107" s="58" t="s">
        <v>33</v>
      </c>
      <c r="B107" s="47" t="s">
        <v>170</v>
      </c>
      <c r="C107" s="41" t="s">
        <v>635</v>
      </c>
      <c r="D107" s="41"/>
      <c r="E107" s="41"/>
      <c r="F107" s="41"/>
      <c r="G107" s="41"/>
      <c r="H107" s="10">
        <v>6.5</v>
      </c>
      <c r="I107" s="54">
        <f>VLOOKUP(A107,İstasyonlar!$A$2:$D$776,4,0)</f>
        <v>1000000</v>
      </c>
      <c r="J107">
        <f t="shared" si="3"/>
        <v>35</v>
      </c>
      <c r="K107" t="str">
        <f t="shared" si="2"/>
        <v/>
      </c>
    </row>
    <row r="108" spans="1:11" x14ac:dyDescent="0.3">
      <c r="A108" s="58" t="s">
        <v>284</v>
      </c>
      <c r="B108" s="47" t="s">
        <v>294</v>
      </c>
      <c r="C108" s="41" t="s">
        <v>636</v>
      </c>
      <c r="D108" s="41"/>
      <c r="E108" s="41"/>
      <c r="F108" s="41"/>
      <c r="G108" s="41"/>
      <c r="H108" s="10">
        <v>4.0999999999999996</v>
      </c>
      <c r="I108" s="54">
        <f>VLOOKUP(A108,İstasyonlar!$A$2:$D$776,4,0)</f>
        <v>1000000</v>
      </c>
      <c r="J108">
        <f t="shared" si="3"/>
        <v>36</v>
      </c>
      <c r="K108" t="str">
        <f t="shared" si="2"/>
        <v/>
      </c>
    </row>
    <row r="109" spans="1:11" x14ac:dyDescent="0.3">
      <c r="A109" s="58" t="s">
        <v>284</v>
      </c>
      <c r="B109" s="47" t="s">
        <v>295</v>
      </c>
      <c r="C109" s="41" t="s">
        <v>636</v>
      </c>
      <c r="D109" s="41"/>
      <c r="E109" s="41"/>
      <c r="F109" s="41"/>
      <c r="G109" s="41"/>
      <c r="H109" s="10">
        <v>3.8</v>
      </c>
      <c r="I109" s="54">
        <f>VLOOKUP(A109,İstasyonlar!$A$2:$D$776,4,0)</f>
        <v>1000000</v>
      </c>
      <c r="J109">
        <f t="shared" si="3"/>
        <v>36</v>
      </c>
      <c r="K109" t="str">
        <f t="shared" si="2"/>
        <v/>
      </c>
    </row>
    <row r="110" spans="1:11" x14ac:dyDescent="0.3">
      <c r="A110" s="58" t="s">
        <v>284</v>
      </c>
      <c r="B110" s="47" t="s">
        <v>296</v>
      </c>
      <c r="C110" s="41" t="s">
        <v>636</v>
      </c>
      <c r="D110" s="41"/>
      <c r="E110" s="41"/>
      <c r="F110" s="41"/>
      <c r="G110" s="41"/>
      <c r="H110" s="10">
        <v>3.1</v>
      </c>
      <c r="I110" s="54">
        <f>VLOOKUP(A110,İstasyonlar!$A$2:$D$776,4,0)</f>
        <v>1000000</v>
      </c>
      <c r="J110">
        <f t="shared" si="3"/>
        <v>36</v>
      </c>
      <c r="K110" t="str">
        <f t="shared" si="2"/>
        <v/>
      </c>
    </row>
    <row r="111" spans="1:11" x14ac:dyDescent="0.3">
      <c r="A111" s="58" t="s">
        <v>34</v>
      </c>
      <c r="B111" s="47" t="s">
        <v>171</v>
      </c>
      <c r="C111" s="41" t="s">
        <v>637</v>
      </c>
      <c r="D111" s="41" t="s">
        <v>632</v>
      </c>
      <c r="E111" s="41"/>
      <c r="F111" s="41"/>
      <c r="G111" s="41"/>
      <c r="H111" s="10">
        <v>0.5</v>
      </c>
      <c r="I111" s="54">
        <f>VLOOKUP(A111,İstasyonlar!$A$2:$D$776,4,0)</f>
        <v>1000000</v>
      </c>
      <c r="J111">
        <f t="shared" si="3"/>
        <v>37</v>
      </c>
      <c r="K111" t="str">
        <f t="shared" si="2"/>
        <v/>
      </c>
    </row>
    <row r="112" spans="1:11" x14ac:dyDescent="0.3">
      <c r="A112" s="58" t="s">
        <v>34</v>
      </c>
      <c r="B112" s="47" t="s">
        <v>172</v>
      </c>
      <c r="C112" s="41" t="s">
        <v>637</v>
      </c>
      <c r="D112" s="41" t="s">
        <v>632</v>
      </c>
      <c r="E112" s="41"/>
      <c r="F112" s="41"/>
      <c r="G112" s="41"/>
      <c r="H112" s="10">
        <v>6.9</v>
      </c>
      <c r="I112" s="54">
        <f>VLOOKUP(A112,İstasyonlar!$A$2:$D$776,4,0)</f>
        <v>1000000</v>
      </c>
      <c r="J112">
        <f t="shared" si="3"/>
        <v>37</v>
      </c>
      <c r="K112" t="str">
        <f t="shared" si="2"/>
        <v/>
      </c>
    </row>
    <row r="113" spans="1:11" x14ac:dyDescent="0.3">
      <c r="A113" s="58" t="s">
        <v>34</v>
      </c>
      <c r="B113" s="47" t="s">
        <v>173</v>
      </c>
      <c r="C113" s="41" t="s">
        <v>637</v>
      </c>
      <c r="D113" s="41" t="s">
        <v>632</v>
      </c>
      <c r="E113" s="41"/>
      <c r="F113" s="41"/>
      <c r="G113" s="41"/>
      <c r="H113" s="10">
        <v>5.4</v>
      </c>
      <c r="I113" s="54">
        <f>VLOOKUP(A113,İstasyonlar!$A$2:$D$776,4,0)</f>
        <v>1000000</v>
      </c>
      <c r="J113">
        <f t="shared" si="3"/>
        <v>37</v>
      </c>
      <c r="K113" t="str">
        <f t="shared" si="2"/>
        <v/>
      </c>
    </row>
    <row r="114" spans="1:11" x14ac:dyDescent="0.3">
      <c r="A114" s="58" t="s">
        <v>34</v>
      </c>
      <c r="B114" s="47" t="s">
        <v>174</v>
      </c>
      <c r="C114" s="41" t="s">
        <v>637</v>
      </c>
      <c r="D114" s="41" t="s">
        <v>632</v>
      </c>
      <c r="E114" s="41"/>
      <c r="F114" s="41"/>
      <c r="G114" s="41"/>
      <c r="H114" s="10">
        <v>6.1</v>
      </c>
      <c r="I114" s="54">
        <f>VLOOKUP(A114,İstasyonlar!$A$2:$D$776,4,0)</f>
        <v>1000000</v>
      </c>
      <c r="J114">
        <f t="shared" si="3"/>
        <v>37</v>
      </c>
      <c r="K114" t="str">
        <f t="shared" si="2"/>
        <v/>
      </c>
    </row>
    <row r="115" spans="1:11" x14ac:dyDescent="0.3">
      <c r="A115" s="58" t="s">
        <v>34</v>
      </c>
      <c r="B115" s="47" t="s">
        <v>175</v>
      </c>
      <c r="C115" s="41" t="s">
        <v>637</v>
      </c>
      <c r="D115" s="41" t="s">
        <v>632</v>
      </c>
      <c r="E115" s="41"/>
      <c r="F115" s="41"/>
      <c r="G115" s="41"/>
      <c r="H115" s="10">
        <v>0.5</v>
      </c>
      <c r="I115" s="54">
        <f>VLOOKUP(A115,İstasyonlar!$A$2:$D$776,4,0)</f>
        <v>1000000</v>
      </c>
      <c r="J115">
        <f t="shared" si="3"/>
        <v>37</v>
      </c>
      <c r="K115" t="str">
        <f t="shared" si="2"/>
        <v/>
      </c>
    </row>
    <row r="116" spans="1:11" x14ac:dyDescent="0.3">
      <c r="A116" s="59" t="s">
        <v>382</v>
      </c>
      <c r="B116" s="47" t="s">
        <v>471</v>
      </c>
      <c r="C116" s="41" t="s">
        <v>639</v>
      </c>
      <c r="D116" s="41" t="s">
        <v>640</v>
      </c>
      <c r="E116" s="41"/>
      <c r="F116" s="41"/>
      <c r="G116" s="41"/>
      <c r="H116" s="10">
        <v>11.3</v>
      </c>
      <c r="I116" s="54">
        <f>VLOOKUP(A116,İstasyonlar!$A$2:$D$776,4,0)</f>
        <v>999999999</v>
      </c>
      <c r="J116">
        <f t="shared" si="3"/>
        <v>38</v>
      </c>
      <c r="K116" t="str">
        <f t="shared" si="2"/>
        <v>Sabit</v>
      </c>
    </row>
    <row r="117" spans="1:11" x14ac:dyDescent="0.3">
      <c r="A117" s="59" t="s">
        <v>382</v>
      </c>
      <c r="B117" s="47" t="s">
        <v>472</v>
      </c>
      <c r="C117" s="41" t="s">
        <v>639</v>
      </c>
      <c r="D117" s="41" t="s">
        <v>640</v>
      </c>
      <c r="E117" s="41"/>
      <c r="F117" s="41"/>
      <c r="G117" s="41"/>
      <c r="H117" s="10">
        <v>4.9000000000000004</v>
      </c>
      <c r="I117" s="54">
        <f>VLOOKUP(A117,İstasyonlar!$A$2:$D$776,4,0)</f>
        <v>999999999</v>
      </c>
      <c r="J117">
        <f t="shared" si="3"/>
        <v>38</v>
      </c>
      <c r="K117" t="str">
        <f t="shared" si="2"/>
        <v>Sabit</v>
      </c>
    </row>
    <row r="118" spans="1:11" x14ac:dyDescent="0.3">
      <c r="A118" s="59" t="s">
        <v>382</v>
      </c>
      <c r="B118" s="47" t="s">
        <v>473</v>
      </c>
      <c r="C118" s="41" t="s">
        <v>639</v>
      </c>
      <c r="D118" s="41" t="s">
        <v>640</v>
      </c>
      <c r="E118" s="41"/>
      <c r="F118" s="41"/>
      <c r="G118" s="41"/>
      <c r="H118" s="10">
        <v>2.1</v>
      </c>
      <c r="I118" s="54">
        <f>VLOOKUP(A118,İstasyonlar!$A$2:$D$776,4,0)</f>
        <v>999999999</v>
      </c>
      <c r="J118">
        <f t="shared" si="3"/>
        <v>38</v>
      </c>
      <c r="K118" t="str">
        <f t="shared" si="2"/>
        <v>Sabit</v>
      </c>
    </row>
    <row r="119" spans="1:11" x14ac:dyDescent="0.3">
      <c r="A119" s="59" t="s">
        <v>382</v>
      </c>
      <c r="B119" s="47" t="s">
        <v>474</v>
      </c>
      <c r="C119" s="41" t="s">
        <v>639</v>
      </c>
      <c r="D119" s="41" t="s">
        <v>640</v>
      </c>
      <c r="E119" s="41"/>
      <c r="F119" s="41"/>
      <c r="G119" s="41"/>
      <c r="H119" s="10">
        <v>1</v>
      </c>
      <c r="I119" s="54">
        <f>VLOOKUP(A119,İstasyonlar!$A$2:$D$776,4,0)</f>
        <v>999999999</v>
      </c>
      <c r="J119">
        <f t="shared" si="3"/>
        <v>38</v>
      </c>
      <c r="K119" t="str">
        <f t="shared" si="2"/>
        <v>Sabit</v>
      </c>
    </row>
    <row r="120" spans="1:11" x14ac:dyDescent="0.3">
      <c r="A120" s="58" t="s">
        <v>35</v>
      </c>
      <c r="B120" s="47" t="s">
        <v>176</v>
      </c>
      <c r="C120" s="41" t="s">
        <v>640</v>
      </c>
      <c r="D120" s="41" t="s">
        <v>639</v>
      </c>
      <c r="E120" s="41" t="s">
        <v>644</v>
      </c>
      <c r="F120" s="41"/>
      <c r="G120" s="41"/>
      <c r="H120" s="10">
        <v>0.5</v>
      </c>
      <c r="I120" s="54">
        <f>VLOOKUP(A120,İstasyonlar!$A$2:$D$776,4,0)</f>
        <v>999999999</v>
      </c>
      <c r="J120">
        <f t="shared" si="3"/>
        <v>39</v>
      </c>
      <c r="K120" t="str">
        <f t="shared" si="2"/>
        <v>Sabit</v>
      </c>
    </row>
    <row r="121" spans="1:11" x14ac:dyDescent="0.3">
      <c r="A121" s="58" t="s">
        <v>35</v>
      </c>
      <c r="B121" s="47" t="s">
        <v>177</v>
      </c>
      <c r="C121" s="41" t="s">
        <v>640</v>
      </c>
      <c r="D121" s="41" t="s">
        <v>639</v>
      </c>
      <c r="E121" s="41" t="s">
        <v>644</v>
      </c>
      <c r="F121" s="41"/>
      <c r="G121" s="41"/>
      <c r="H121" s="10">
        <v>4.2</v>
      </c>
      <c r="I121" s="54">
        <f>VLOOKUP(A121,İstasyonlar!$A$2:$D$776,4,0)</f>
        <v>999999999</v>
      </c>
      <c r="J121">
        <f t="shared" si="3"/>
        <v>39</v>
      </c>
      <c r="K121" t="str">
        <f t="shared" si="2"/>
        <v>Sabit</v>
      </c>
    </row>
    <row r="122" spans="1:11" x14ac:dyDescent="0.3">
      <c r="A122" s="58" t="s">
        <v>35</v>
      </c>
      <c r="B122" s="47" t="s">
        <v>178</v>
      </c>
      <c r="C122" s="41" t="s">
        <v>640</v>
      </c>
      <c r="D122" s="41" t="s">
        <v>639</v>
      </c>
      <c r="E122" s="41" t="s">
        <v>644</v>
      </c>
      <c r="F122" s="41"/>
      <c r="G122" s="41"/>
      <c r="H122" s="10">
        <v>6.3</v>
      </c>
      <c r="I122" s="54">
        <f>VLOOKUP(A122,İstasyonlar!$A$2:$D$776,4,0)</f>
        <v>999999999</v>
      </c>
      <c r="J122">
        <f t="shared" si="3"/>
        <v>39</v>
      </c>
      <c r="K122" t="str">
        <f t="shared" si="2"/>
        <v>Sabit</v>
      </c>
    </row>
    <row r="123" spans="1:11" x14ac:dyDescent="0.3">
      <c r="A123" s="58" t="s">
        <v>35</v>
      </c>
      <c r="B123" s="47" t="s">
        <v>179</v>
      </c>
      <c r="C123" s="41" t="s">
        <v>640</v>
      </c>
      <c r="D123" s="41" t="s">
        <v>639</v>
      </c>
      <c r="E123" s="41" t="s">
        <v>644</v>
      </c>
      <c r="F123" s="41"/>
      <c r="G123" s="41"/>
      <c r="H123" s="10">
        <v>6.4</v>
      </c>
      <c r="I123" s="54">
        <f>VLOOKUP(A123,İstasyonlar!$A$2:$D$776,4,0)</f>
        <v>999999999</v>
      </c>
      <c r="J123">
        <f t="shared" si="3"/>
        <v>39</v>
      </c>
      <c r="K123" t="str">
        <f t="shared" si="2"/>
        <v>Sabit</v>
      </c>
    </row>
    <row r="124" spans="1:11" x14ac:dyDescent="0.3">
      <c r="A124" s="58" t="s">
        <v>35</v>
      </c>
      <c r="B124" s="47" t="s">
        <v>180</v>
      </c>
      <c r="C124" s="41" t="s">
        <v>640</v>
      </c>
      <c r="D124" s="41" t="s">
        <v>639</v>
      </c>
      <c r="E124" s="41" t="s">
        <v>644</v>
      </c>
      <c r="F124" s="41"/>
      <c r="G124" s="41"/>
      <c r="H124" s="10">
        <v>0.5</v>
      </c>
      <c r="I124" s="54">
        <f>VLOOKUP(A124,İstasyonlar!$A$2:$D$776,4,0)</f>
        <v>999999999</v>
      </c>
      <c r="J124">
        <f t="shared" si="3"/>
        <v>39</v>
      </c>
      <c r="K124" t="str">
        <f t="shared" si="2"/>
        <v>Sabit</v>
      </c>
    </row>
    <row r="125" spans="1:11" x14ac:dyDescent="0.3">
      <c r="A125" s="59" t="s">
        <v>738</v>
      </c>
      <c r="B125" s="47" t="s">
        <v>739</v>
      </c>
      <c r="C125" s="41" t="s">
        <v>646</v>
      </c>
      <c r="D125" s="41"/>
      <c r="E125" s="41"/>
      <c r="F125" s="41"/>
      <c r="G125" s="41"/>
      <c r="H125" s="10">
        <v>5.0999999999999996</v>
      </c>
      <c r="I125" s="54">
        <f>VLOOKUP(A125,İstasyonlar!$A$2:$D$776,4,0)</f>
        <v>999999999</v>
      </c>
      <c r="J125">
        <f t="shared" si="3"/>
        <v>40</v>
      </c>
      <c r="K125" t="str">
        <f t="shared" si="2"/>
        <v>Sabit</v>
      </c>
    </row>
    <row r="126" spans="1:11" x14ac:dyDescent="0.3">
      <c r="A126" s="59" t="s">
        <v>738</v>
      </c>
      <c r="B126" s="47" t="s">
        <v>740</v>
      </c>
      <c r="C126" s="41" t="s">
        <v>646</v>
      </c>
      <c r="D126" s="41"/>
      <c r="E126" s="41"/>
      <c r="F126" s="41"/>
      <c r="G126" s="41"/>
      <c r="H126" s="10">
        <v>3.5</v>
      </c>
      <c r="I126" s="54">
        <f>VLOOKUP(A126,İstasyonlar!$A$2:$D$776,4,0)</f>
        <v>999999999</v>
      </c>
      <c r="J126">
        <f t="shared" si="3"/>
        <v>40</v>
      </c>
      <c r="K126" t="str">
        <f t="shared" si="2"/>
        <v>Sabit</v>
      </c>
    </row>
    <row r="127" spans="1:11" x14ac:dyDescent="0.3">
      <c r="A127" s="59" t="s">
        <v>738</v>
      </c>
      <c r="B127" s="47" t="s">
        <v>741</v>
      </c>
      <c r="C127" s="41" t="s">
        <v>646</v>
      </c>
      <c r="D127" s="41"/>
      <c r="E127" s="41"/>
      <c r="F127" s="41"/>
      <c r="G127" s="41"/>
      <c r="H127" s="10">
        <v>2.8</v>
      </c>
      <c r="I127" s="54">
        <f>VLOOKUP(A127,İstasyonlar!$A$2:$D$776,4,0)</f>
        <v>999999999</v>
      </c>
      <c r="J127">
        <f t="shared" si="3"/>
        <v>40</v>
      </c>
      <c r="K127" t="str">
        <f t="shared" si="2"/>
        <v>Sabit</v>
      </c>
    </row>
    <row r="128" spans="1:11" x14ac:dyDescent="0.3">
      <c r="A128" s="59" t="s">
        <v>738</v>
      </c>
      <c r="B128" s="47" t="s">
        <v>742</v>
      </c>
      <c r="C128" s="41" t="s">
        <v>646</v>
      </c>
      <c r="D128" s="41"/>
      <c r="E128" s="41"/>
      <c r="F128" s="41"/>
      <c r="G128" s="41"/>
      <c r="H128" s="10">
        <v>1</v>
      </c>
      <c r="I128" s="54">
        <f>VLOOKUP(A128,İstasyonlar!$A$2:$D$776,4,0)</f>
        <v>999999999</v>
      </c>
      <c r="J128">
        <f t="shared" si="3"/>
        <v>40</v>
      </c>
      <c r="K128" t="str">
        <f t="shared" si="2"/>
        <v>Sabit</v>
      </c>
    </row>
    <row r="129" spans="1:11" x14ac:dyDescent="0.3">
      <c r="A129" s="58" t="s">
        <v>37</v>
      </c>
      <c r="B129" s="47" t="s">
        <v>181</v>
      </c>
      <c r="C129" s="41" t="s">
        <v>644</v>
      </c>
      <c r="D129" s="41" t="s">
        <v>635</v>
      </c>
      <c r="E129" s="41" t="s">
        <v>646</v>
      </c>
      <c r="F129" s="41"/>
      <c r="G129" s="41"/>
      <c r="H129" s="10">
        <v>0.5</v>
      </c>
      <c r="I129" s="54">
        <f>VLOOKUP(A129,İstasyonlar!$A$2:$D$776,4,0)</f>
        <v>1000000</v>
      </c>
      <c r="J129">
        <f t="shared" si="3"/>
        <v>41</v>
      </c>
      <c r="K129" t="str">
        <f t="shared" si="2"/>
        <v/>
      </c>
    </row>
    <row r="130" spans="1:11" x14ac:dyDescent="0.3">
      <c r="A130" s="58" t="s">
        <v>37</v>
      </c>
      <c r="B130" s="47" t="s">
        <v>182</v>
      </c>
      <c r="C130" s="41" t="s">
        <v>644</v>
      </c>
      <c r="D130" s="41" t="s">
        <v>635</v>
      </c>
      <c r="E130" s="41" t="s">
        <v>646</v>
      </c>
      <c r="F130" s="41"/>
      <c r="G130" s="41"/>
      <c r="H130" s="10">
        <v>2.8</v>
      </c>
      <c r="I130" s="54">
        <f>VLOOKUP(A130,İstasyonlar!$A$2:$D$776,4,0)</f>
        <v>1000000</v>
      </c>
      <c r="J130">
        <f t="shared" si="3"/>
        <v>41</v>
      </c>
      <c r="K130" t="str">
        <f t="shared" ref="K130:K193" si="4">IF(I130=1000000,"","Sabit")</f>
        <v/>
      </c>
    </row>
    <row r="131" spans="1:11" x14ac:dyDescent="0.3">
      <c r="A131" s="58" t="s">
        <v>37</v>
      </c>
      <c r="B131" s="47" t="s">
        <v>183</v>
      </c>
      <c r="C131" s="41" t="s">
        <v>644</v>
      </c>
      <c r="D131" s="41" t="s">
        <v>635</v>
      </c>
      <c r="E131" s="41" t="s">
        <v>646</v>
      </c>
      <c r="F131" s="41"/>
      <c r="G131" s="41"/>
      <c r="H131" s="10">
        <v>5.5</v>
      </c>
      <c r="I131" s="54">
        <f>VLOOKUP(A131,İstasyonlar!$A$2:$D$776,4,0)</f>
        <v>1000000</v>
      </c>
      <c r="J131">
        <f t="shared" ref="J131:J194" si="5">IF(A131=A130, J130, J130+1)</f>
        <v>41</v>
      </c>
      <c r="K131" t="str">
        <f t="shared" si="4"/>
        <v/>
      </c>
    </row>
    <row r="132" spans="1:11" x14ac:dyDescent="0.3">
      <c r="A132" s="58" t="s">
        <v>37</v>
      </c>
      <c r="B132" s="47" t="s">
        <v>184</v>
      </c>
      <c r="C132" s="41" t="s">
        <v>644</v>
      </c>
      <c r="D132" s="41" t="s">
        <v>635</v>
      </c>
      <c r="E132" s="41" t="s">
        <v>646</v>
      </c>
      <c r="F132" s="41"/>
      <c r="G132" s="41"/>
      <c r="H132" s="10">
        <v>3.8</v>
      </c>
      <c r="I132" s="54">
        <f>VLOOKUP(A132,İstasyonlar!$A$2:$D$776,4,0)</f>
        <v>1000000</v>
      </c>
      <c r="J132">
        <f t="shared" si="5"/>
        <v>41</v>
      </c>
      <c r="K132" t="str">
        <f t="shared" si="4"/>
        <v/>
      </c>
    </row>
    <row r="133" spans="1:11" x14ac:dyDescent="0.3">
      <c r="A133" s="58" t="s">
        <v>37</v>
      </c>
      <c r="B133" s="47" t="s">
        <v>186</v>
      </c>
      <c r="C133" s="41" t="s">
        <v>644</v>
      </c>
      <c r="D133" s="41" t="s">
        <v>635</v>
      </c>
      <c r="E133" s="41" t="s">
        <v>646</v>
      </c>
      <c r="F133" s="41"/>
      <c r="G133" s="41"/>
      <c r="H133" s="10">
        <v>2.8</v>
      </c>
      <c r="I133" s="54">
        <f>VLOOKUP(A133,İstasyonlar!$A$2:$D$776,4,0)</f>
        <v>1000000</v>
      </c>
      <c r="J133">
        <f t="shared" si="5"/>
        <v>41</v>
      </c>
      <c r="K133" t="str">
        <f t="shared" si="4"/>
        <v/>
      </c>
    </row>
    <row r="134" spans="1:11" x14ac:dyDescent="0.3">
      <c r="A134" s="58" t="s">
        <v>37</v>
      </c>
      <c r="B134" s="47" t="s">
        <v>185</v>
      </c>
      <c r="C134" s="41" t="s">
        <v>644</v>
      </c>
      <c r="D134" s="41" t="s">
        <v>635</v>
      </c>
      <c r="E134" s="41" t="s">
        <v>646</v>
      </c>
      <c r="F134" s="41"/>
      <c r="G134" s="41"/>
      <c r="H134" s="10">
        <v>0.5</v>
      </c>
      <c r="I134" s="54">
        <f>VLOOKUP(A134,İstasyonlar!$A$2:$D$776,4,0)</f>
        <v>1000000</v>
      </c>
      <c r="J134">
        <f t="shared" si="5"/>
        <v>41</v>
      </c>
      <c r="K134" t="str">
        <f t="shared" si="4"/>
        <v/>
      </c>
    </row>
    <row r="135" spans="1:11" x14ac:dyDescent="0.3">
      <c r="A135" s="58" t="s">
        <v>58</v>
      </c>
      <c r="B135" s="47" t="s">
        <v>187</v>
      </c>
      <c r="C135" s="41" t="s">
        <v>647</v>
      </c>
      <c r="D135" s="41" t="s">
        <v>646</v>
      </c>
      <c r="E135" s="41"/>
      <c r="F135" s="41"/>
      <c r="G135" s="41"/>
      <c r="H135" s="10">
        <v>5.3</v>
      </c>
      <c r="I135" s="54">
        <f>VLOOKUP(A135,İstasyonlar!$A$2:$D$776,4,0)</f>
        <v>999999999</v>
      </c>
      <c r="J135">
        <f t="shared" si="5"/>
        <v>42</v>
      </c>
      <c r="K135" t="str">
        <f t="shared" si="4"/>
        <v>Sabit</v>
      </c>
    </row>
    <row r="136" spans="1:11" x14ac:dyDescent="0.3">
      <c r="A136" s="58" t="s">
        <v>58</v>
      </c>
      <c r="B136" s="47" t="s">
        <v>188</v>
      </c>
      <c r="C136" s="41" t="s">
        <v>647</v>
      </c>
      <c r="D136" s="41" t="s">
        <v>646</v>
      </c>
      <c r="E136" s="41"/>
      <c r="F136" s="41"/>
      <c r="G136" s="41"/>
      <c r="H136" s="10">
        <v>2.6</v>
      </c>
      <c r="I136" s="54">
        <f>VLOOKUP(A136,İstasyonlar!$A$2:$D$776,4,0)</f>
        <v>999999999</v>
      </c>
      <c r="J136">
        <f t="shared" si="5"/>
        <v>42</v>
      </c>
      <c r="K136" t="str">
        <f t="shared" si="4"/>
        <v>Sabit</v>
      </c>
    </row>
    <row r="137" spans="1:11" x14ac:dyDescent="0.3">
      <c r="A137" s="58" t="s">
        <v>58</v>
      </c>
      <c r="B137" s="47" t="s">
        <v>189</v>
      </c>
      <c r="C137" s="41" t="s">
        <v>647</v>
      </c>
      <c r="D137" s="41" t="s">
        <v>646</v>
      </c>
      <c r="E137" s="41"/>
      <c r="F137" s="41"/>
      <c r="G137" s="41"/>
      <c r="H137" s="10">
        <v>0.5</v>
      </c>
      <c r="I137" s="54">
        <f>VLOOKUP(A137,İstasyonlar!$A$2:$D$776,4,0)</f>
        <v>999999999</v>
      </c>
      <c r="J137">
        <f t="shared" si="5"/>
        <v>42</v>
      </c>
      <c r="K137" t="str">
        <f t="shared" si="4"/>
        <v>Sabit</v>
      </c>
    </row>
    <row r="138" spans="1:11" x14ac:dyDescent="0.3">
      <c r="A138" s="58" t="s">
        <v>36</v>
      </c>
      <c r="B138" s="47" t="s">
        <v>192</v>
      </c>
      <c r="C138" s="41" t="s">
        <v>651</v>
      </c>
      <c r="D138" s="41"/>
      <c r="E138" s="41"/>
      <c r="F138" s="41" t="s">
        <v>644</v>
      </c>
      <c r="G138" s="41"/>
      <c r="H138" s="10">
        <v>5.8</v>
      </c>
      <c r="I138" s="54">
        <f>VLOOKUP(A138,İstasyonlar!$A$2:$D$776,4,0)</f>
        <v>1000000</v>
      </c>
      <c r="J138">
        <f t="shared" si="5"/>
        <v>43</v>
      </c>
      <c r="K138" t="str">
        <f t="shared" si="4"/>
        <v/>
      </c>
    </row>
    <row r="139" spans="1:11" x14ac:dyDescent="0.3">
      <c r="A139" s="58" t="s">
        <v>36</v>
      </c>
      <c r="B139" s="47" t="s">
        <v>193</v>
      </c>
      <c r="C139" s="41" t="s">
        <v>651</v>
      </c>
      <c r="D139" s="41"/>
      <c r="E139" s="41"/>
      <c r="F139" s="41" t="s">
        <v>644</v>
      </c>
      <c r="G139" s="41"/>
      <c r="H139" s="10">
        <v>5.6</v>
      </c>
      <c r="I139" s="54">
        <f>VLOOKUP(A139,İstasyonlar!$A$2:$D$776,4,0)</f>
        <v>1000000</v>
      </c>
      <c r="J139">
        <f t="shared" si="5"/>
        <v>43</v>
      </c>
      <c r="K139" t="str">
        <f t="shared" si="4"/>
        <v/>
      </c>
    </row>
    <row r="140" spans="1:11" x14ac:dyDescent="0.3">
      <c r="A140" s="58" t="s">
        <v>36</v>
      </c>
      <c r="B140" s="47" t="s">
        <v>190</v>
      </c>
      <c r="C140" s="41" t="s">
        <v>651</v>
      </c>
      <c r="D140" s="41"/>
      <c r="E140" s="41"/>
      <c r="F140" s="41" t="s">
        <v>644</v>
      </c>
      <c r="G140" s="41"/>
      <c r="H140" s="10">
        <v>4.0999999999999996</v>
      </c>
      <c r="I140" s="54">
        <f>VLOOKUP(A140,İstasyonlar!$A$2:$D$776,4,0)</f>
        <v>1000000</v>
      </c>
      <c r="J140">
        <f t="shared" si="5"/>
        <v>43</v>
      </c>
      <c r="K140" t="str">
        <f t="shared" si="4"/>
        <v/>
      </c>
    </row>
    <row r="141" spans="1:11" x14ac:dyDescent="0.3">
      <c r="A141" s="58" t="s">
        <v>36</v>
      </c>
      <c r="B141" s="47" t="s">
        <v>191</v>
      </c>
      <c r="C141" s="41" t="s">
        <v>651</v>
      </c>
      <c r="D141" s="41"/>
      <c r="E141" s="41"/>
      <c r="F141" s="41" t="s">
        <v>644</v>
      </c>
      <c r="G141" s="41"/>
      <c r="H141" s="10">
        <v>4.0999999999999996</v>
      </c>
      <c r="I141" s="54">
        <f>VLOOKUP(A141,İstasyonlar!$A$2:$D$776,4,0)</f>
        <v>1000000</v>
      </c>
      <c r="J141">
        <f t="shared" si="5"/>
        <v>43</v>
      </c>
      <c r="K141" t="str">
        <f t="shared" si="4"/>
        <v/>
      </c>
    </row>
    <row r="142" spans="1:11" x14ac:dyDescent="0.3">
      <c r="A142" s="58" t="s">
        <v>30</v>
      </c>
      <c r="B142" s="47" t="s">
        <v>195</v>
      </c>
      <c r="C142" s="41" t="s">
        <v>652</v>
      </c>
      <c r="D142" s="41" t="s">
        <v>653</v>
      </c>
      <c r="E142" s="41"/>
      <c r="F142" s="41"/>
      <c r="G142" s="41"/>
      <c r="H142" s="10">
        <v>2.6</v>
      </c>
      <c r="I142" s="54">
        <f>VLOOKUP(A142,İstasyonlar!$A$2:$D$776,4,0)</f>
        <v>1000000</v>
      </c>
      <c r="J142">
        <f t="shared" si="5"/>
        <v>44</v>
      </c>
      <c r="K142" t="str">
        <f t="shared" si="4"/>
        <v/>
      </c>
    </row>
    <row r="143" spans="1:11" x14ac:dyDescent="0.3">
      <c r="A143" s="58" t="s">
        <v>30</v>
      </c>
      <c r="B143" s="47" t="s">
        <v>196</v>
      </c>
      <c r="C143" s="41" t="s">
        <v>652</v>
      </c>
      <c r="D143" s="41" t="s">
        <v>653</v>
      </c>
      <c r="E143" s="41"/>
      <c r="F143" s="41"/>
      <c r="G143" s="41"/>
      <c r="H143" s="10">
        <v>2.6</v>
      </c>
      <c r="I143" s="54">
        <f>VLOOKUP(A143,İstasyonlar!$A$2:$D$776,4,0)</f>
        <v>1000000</v>
      </c>
      <c r="J143">
        <f t="shared" si="5"/>
        <v>44</v>
      </c>
      <c r="K143" t="str">
        <f t="shared" si="4"/>
        <v/>
      </c>
    </row>
    <row r="144" spans="1:11" x14ac:dyDescent="0.3">
      <c r="A144" s="58" t="s">
        <v>30</v>
      </c>
      <c r="B144" s="47" t="s">
        <v>194</v>
      </c>
      <c r="C144" s="41" t="s">
        <v>652</v>
      </c>
      <c r="D144" s="41" t="s">
        <v>653</v>
      </c>
      <c r="E144" s="41"/>
      <c r="F144" s="41"/>
      <c r="G144" s="41"/>
      <c r="H144" s="10">
        <v>4.2</v>
      </c>
      <c r="I144" s="54">
        <f>VLOOKUP(A144,İstasyonlar!$A$2:$D$776,4,0)</f>
        <v>1000000</v>
      </c>
      <c r="J144">
        <f t="shared" si="5"/>
        <v>44</v>
      </c>
      <c r="K144" t="str">
        <f t="shared" si="4"/>
        <v/>
      </c>
    </row>
    <row r="145" spans="1:11" x14ac:dyDescent="0.3">
      <c r="A145" s="58" t="s">
        <v>30</v>
      </c>
      <c r="B145" s="47" t="s">
        <v>197</v>
      </c>
      <c r="C145" s="41" t="s">
        <v>652</v>
      </c>
      <c r="D145" s="41" t="s">
        <v>653</v>
      </c>
      <c r="E145" s="41"/>
      <c r="F145" s="41"/>
      <c r="G145" s="41"/>
      <c r="H145" s="10">
        <v>2.8</v>
      </c>
      <c r="I145" s="54">
        <f>VLOOKUP(A145,İstasyonlar!$A$2:$D$776,4,0)</f>
        <v>1000000</v>
      </c>
      <c r="J145">
        <f t="shared" si="5"/>
        <v>44</v>
      </c>
      <c r="K145" t="str">
        <f t="shared" si="4"/>
        <v/>
      </c>
    </row>
    <row r="146" spans="1:11" x14ac:dyDescent="0.3">
      <c r="A146" s="58" t="s">
        <v>38</v>
      </c>
      <c r="B146" s="47" t="s">
        <v>198</v>
      </c>
      <c r="C146" s="41" t="s">
        <v>653</v>
      </c>
      <c r="D146" s="41" t="s">
        <v>652</v>
      </c>
      <c r="E146" s="41"/>
      <c r="F146" s="41"/>
      <c r="G146" s="41"/>
      <c r="H146" s="10">
        <v>0.5</v>
      </c>
      <c r="I146" s="54">
        <f>VLOOKUP(A146,İstasyonlar!$A$2:$D$776,4,0)</f>
        <v>999999999</v>
      </c>
      <c r="J146">
        <f t="shared" si="5"/>
        <v>45</v>
      </c>
      <c r="K146" t="str">
        <f t="shared" si="4"/>
        <v>Sabit</v>
      </c>
    </row>
    <row r="147" spans="1:11" x14ac:dyDescent="0.3">
      <c r="A147" s="58" t="s">
        <v>38</v>
      </c>
      <c r="B147" s="47" t="s">
        <v>199</v>
      </c>
      <c r="C147" s="41" t="s">
        <v>653</v>
      </c>
      <c r="D147" s="41" t="s">
        <v>652</v>
      </c>
      <c r="E147" s="41"/>
      <c r="F147" s="41"/>
      <c r="G147" s="41"/>
      <c r="H147" s="10">
        <v>4</v>
      </c>
      <c r="I147" s="54">
        <f>VLOOKUP(A147,İstasyonlar!$A$2:$D$776,4,0)</f>
        <v>999999999</v>
      </c>
      <c r="J147">
        <f t="shared" si="5"/>
        <v>45</v>
      </c>
      <c r="K147" t="str">
        <f t="shared" si="4"/>
        <v>Sabit</v>
      </c>
    </row>
    <row r="148" spans="1:11" x14ac:dyDescent="0.3">
      <c r="A148" s="58" t="s">
        <v>38</v>
      </c>
      <c r="B148" s="47" t="s">
        <v>200</v>
      </c>
      <c r="C148" s="41" t="s">
        <v>653</v>
      </c>
      <c r="D148" s="41" t="s">
        <v>652</v>
      </c>
      <c r="E148" s="41"/>
      <c r="F148" s="41"/>
      <c r="G148" s="41"/>
      <c r="H148" s="10">
        <v>3.1</v>
      </c>
      <c r="I148" s="54">
        <f>VLOOKUP(A148,İstasyonlar!$A$2:$D$776,4,0)</f>
        <v>999999999</v>
      </c>
      <c r="J148">
        <f t="shared" si="5"/>
        <v>45</v>
      </c>
      <c r="K148" t="str">
        <f t="shared" si="4"/>
        <v>Sabit</v>
      </c>
    </row>
    <row r="149" spans="1:11" x14ac:dyDescent="0.3">
      <c r="A149" s="58" t="s">
        <v>38</v>
      </c>
      <c r="B149" s="47" t="s">
        <v>201</v>
      </c>
      <c r="C149" s="41" t="s">
        <v>653</v>
      </c>
      <c r="D149" s="41" t="s">
        <v>652</v>
      </c>
      <c r="E149" s="41"/>
      <c r="F149" s="41"/>
      <c r="G149" s="41"/>
      <c r="H149" s="10">
        <v>2.6</v>
      </c>
      <c r="I149" s="54">
        <f>VLOOKUP(A149,İstasyonlar!$A$2:$D$776,4,0)</f>
        <v>999999999</v>
      </c>
      <c r="J149">
        <f t="shared" si="5"/>
        <v>45</v>
      </c>
      <c r="K149" t="str">
        <f t="shared" si="4"/>
        <v>Sabit</v>
      </c>
    </row>
    <row r="150" spans="1:11" x14ac:dyDescent="0.3">
      <c r="A150" s="58" t="s">
        <v>38</v>
      </c>
      <c r="B150" s="47" t="s">
        <v>202</v>
      </c>
      <c r="C150" s="41" t="s">
        <v>653</v>
      </c>
      <c r="D150" s="41" t="s">
        <v>652</v>
      </c>
      <c r="E150" s="41"/>
      <c r="F150" s="41"/>
      <c r="G150" s="41"/>
      <c r="H150" s="10">
        <v>0.5</v>
      </c>
      <c r="I150" s="54">
        <f>VLOOKUP(A150,İstasyonlar!$A$2:$D$776,4,0)</f>
        <v>999999999</v>
      </c>
      <c r="J150">
        <f t="shared" si="5"/>
        <v>45</v>
      </c>
      <c r="K150" t="str">
        <f t="shared" si="4"/>
        <v>Sabit</v>
      </c>
    </row>
    <row r="151" spans="1:11" x14ac:dyDescent="0.3">
      <c r="A151" s="59" t="s">
        <v>40</v>
      </c>
      <c r="B151" s="48" t="s">
        <v>203</v>
      </c>
      <c r="C151" s="41" t="s">
        <v>655</v>
      </c>
      <c r="D151" s="41" t="s">
        <v>656</v>
      </c>
      <c r="E151" s="41"/>
      <c r="F151" s="41"/>
      <c r="G151" s="41"/>
      <c r="H151" s="10">
        <v>5.0999999999999996</v>
      </c>
      <c r="I151" s="54">
        <f>VLOOKUP(A151,İstasyonlar!$A$2:$D$776,4,0)</f>
        <v>1000000</v>
      </c>
      <c r="J151">
        <f t="shared" si="5"/>
        <v>46</v>
      </c>
      <c r="K151" t="str">
        <f t="shared" si="4"/>
        <v/>
      </c>
    </row>
    <row r="152" spans="1:11" x14ac:dyDescent="0.3">
      <c r="A152" s="59" t="s">
        <v>40</v>
      </c>
      <c r="B152" s="48" t="s">
        <v>204</v>
      </c>
      <c r="C152" s="41" t="s">
        <v>655</v>
      </c>
      <c r="D152" s="41" t="s">
        <v>656</v>
      </c>
      <c r="E152" s="41"/>
      <c r="F152" s="41"/>
      <c r="G152" s="41"/>
      <c r="H152" s="10">
        <v>4.0999999999999996</v>
      </c>
      <c r="I152" s="54">
        <f>VLOOKUP(A152,İstasyonlar!$A$2:$D$776,4,0)</f>
        <v>1000000</v>
      </c>
      <c r="J152">
        <f t="shared" si="5"/>
        <v>46</v>
      </c>
      <c r="K152" t="str">
        <f t="shared" si="4"/>
        <v/>
      </c>
    </row>
    <row r="153" spans="1:11" x14ac:dyDescent="0.3">
      <c r="A153" s="59" t="s">
        <v>40</v>
      </c>
      <c r="B153" s="48" t="s">
        <v>205</v>
      </c>
      <c r="C153" s="41" t="s">
        <v>655</v>
      </c>
      <c r="D153" s="41" t="s">
        <v>656</v>
      </c>
      <c r="E153" s="41"/>
      <c r="F153" s="41"/>
      <c r="G153" s="41"/>
      <c r="H153" s="10">
        <v>4.0999999999999996</v>
      </c>
      <c r="I153" s="54">
        <f>VLOOKUP(A153,İstasyonlar!$A$2:$D$776,4,0)</f>
        <v>1000000</v>
      </c>
      <c r="J153">
        <f t="shared" si="5"/>
        <v>46</v>
      </c>
      <c r="K153" t="str">
        <f t="shared" si="4"/>
        <v/>
      </c>
    </row>
    <row r="154" spans="1:11" x14ac:dyDescent="0.3">
      <c r="A154" s="59" t="s">
        <v>41</v>
      </c>
      <c r="B154" s="48" t="s">
        <v>211</v>
      </c>
      <c r="C154" s="41" t="s">
        <v>657</v>
      </c>
      <c r="D154" s="41" t="s">
        <v>658</v>
      </c>
      <c r="E154" s="41"/>
      <c r="F154" s="41"/>
      <c r="G154" s="41"/>
      <c r="H154" s="10">
        <v>0.5</v>
      </c>
      <c r="I154" s="54">
        <f>VLOOKUP(A154,İstasyonlar!$A$2:$D$776,4,0)</f>
        <v>999999999</v>
      </c>
      <c r="J154">
        <f t="shared" si="5"/>
        <v>47</v>
      </c>
      <c r="K154" t="str">
        <f t="shared" si="4"/>
        <v>Sabit</v>
      </c>
    </row>
    <row r="155" spans="1:11" x14ac:dyDescent="0.3">
      <c r="A155" s="59" t="s">
        <v>41</v>
      </c>
      <c r="B155" s="48" t="s">
        <v>212</v>
      </c>
      <c r="C155" s="41" t="s">
        <v>657</v>
      </c>
      <c r="D155" s="41" t="s">
        <v>658</v>
      </c>
      <c r="E155" s="41"/>
      <c r="F155" s="41"/>
      <c r="G155" s="41"/>
      <c r="H155" s="10">
        <v>12</v>
      </c>
      <c r="I155" s="54">
        <f>VLOOKUP(A155,İstasyonlar!$A$2:$D$776,4,0)</f>
        <v>999999999</v>
      </c>
      <c r="J155">
        <f t="shared" si="5"/>
        <v>47</v>
      </c>
      <c r="K155" t="str">
        <f t="shared" si="4"/>
        <v>Sabit</v>
      </c>
    </row>
    <row r="156" spans="1:11" x14ac:dyDescent="0.3">
      <c r="A156" s="59" t="s">
        <v>41</v>
      </c>
      <c r="B156" s="48" t="s">
        <v>213</v>
      </c>
      <c r="C156" s="41" t="s">
        <v>657</v>
      </c>
      <c r="D156" s="41" t="s">
        <v>658</v>
      </c>
      <c r="E156" s="41"/>
      <c r="F156" s="41"/>
      <c r="G156" s="41"/>
      <c r="H156" s="10">
        <v>4.0999999999999996</v>
      </c>
      <c r="I156" s="54">
        <f>VLOOKUP(A156,İstasyonlar!$A$2:$D$776,4,0)</f>
        <v>999999999</v>
      </c>
      <c r="J156">
        <f t="shared" si="5"/>
        <v>47</v>
      </c>
      <c r="K156" t="str">
        <f t="shared" si="4"/>
        <v>Sabit</v>
      </c>
    </row>
    <row r="157" spans="1:11" x14ac:dyDescent="0.3">
      <c r="A157" s="59" t="s">
        <v>41</v>
      </c>
      <c r="B157" s="48" t="s">
        <v>214</v>
      </c>
      <c r="C157" s="41" t="s">
        <v>657</v>
      </c>
      <c r="D157" s="41" t="s">
        <v>658</v>
      </c>
      <c r="E157" s="41"/>
      <c r="F157" s="41"/>
      <c r="G157" s="41"/>
      <c r="H157" s="10">
        <v>0.5</v>
      </c>
      <c r="I157" s="54">
        <f>VLOOKUP(A157,İstasyonlar!$A$2:$D$776,4,0)</f>
        <v>999999999</v>
      </c>
      <c r="J157">
        <f t="shared" si="5"/>
        <v>47</v>
      </c>
      <c r="K157" t="str">
        <f t="shared" si="4"/>
        <v>Sabit</v>
      </c>
    </row>
    <row r="158" spans="1:11" x14ac:dyDescent="0.3">
      <c r="A158" s="59" t="s">
        <v>42</v>
      </c>
      <c r="B158" s="48" t="s">
        <v>215</v>
      </c>
      <c r="C158" s="41" t="s">
        <v>658</v>
      </c>
      <c r="D158" s="41" t="s">
        <v>657</v>
      </c>
      <c r="E158" s="41"/>
      <c r="F158" s="41"/>
      <c r="G158" s="41"/>
      <c r="H158" s="10">
        <v>0.5</v>
      </c>
      <c r="I158" s="54">
        <f>VLOOKUP(A158,İstasyonlar!$A$2:$D$776,4,0)</f>
        <v>999999999</v>
      </c>
      <c r="J158">
        <f t="shared" si="5"/>
        <v>48</v>
      </c>
      <c r="K158" t="str">
        <f t="shared" si="4"/>
        <v>Sabit</v>
      </c>
    </row>
    <row r="159" spans="1:11" x14ac:dyDescent="0.3">
      <c r="A159" s="59" t="s">
        <v>42</v>
      </c>
      <c r="B159" s="48" t="s">
        <v>216</v>
      </c>
      <c r="C159" s="41" t="s">
        <v>658</v>
      </c>
      <c r="D159" s="41" t="s">
        <v>657</v>
      </c>
      <c r="E159" s="41"/>
      <c r="F159" s="41"/>
      <c r="G159" s="41"/>
      <c r="H159" s="10">
        <v>12</v>
      </c>
      <c r="I159" s="54">
        <f>VLOOKUP(A159,İstasyonlar!$A$2:$D$776,4,0)</f>
        <v>999999999</v>
      </c>
      <c r="J159">
        <f t="shared" si="5"/>
        <v>48</v>
      </c>
      <c r="K159" t="str">
        <f t="shared" si="4"/>
        <v>Sabit</v>
      </c>
    </row>
    <row r="160" spans="1:11" x14ac:dyDescent="0.3">
      <c r="A160" s="59" t="s">
        <v>42</v>
      </c>
      <c r="B160" s="48" t="s">
        <v>217</v>
      </c>
      <c r="C160" s="41" t="s">
        <v>658</v>
      </c>
      <c r="D160" s="41" t="s">
        <v>657</v>
      </c>
      <c r="E160" s="41"/>
      <c r="F160" s="41"/>
      <c r="G160" s="41"/>
      <c r="H160" s="10">
        <v>4.0999999999999996</v>
      </c>
      <c r="I160" s="54">
        <f>VLOOKUP(A160,İstasyonlar!$A$2:$D$776,4,0)</f>
        <v>999999999</v>
      </c>
      <c r="J160">
        <f t="shared" si="5"/>
        <v>48</v>
      </c>
      <c r="K160" t="str">
        <f t="shared" si="4"/>
        <v>Sabit</v>
      </c>
    </row>
    <row r="161" spans="1:11" x14ac:dyDescent="0.3">
      <c r="A161" s="59" t="s">
        <v>42</v>
      </c>
      <c r="B161" s="48" t="s">
        <v>218</v>
      </c>
      <c r="C161" s="41" t="s">
        <v>658</v>
      </c>
      <c r="D161" s="41" t="s">
        <v>657</v>
      </c>
      <c r="E161" s="41"/>
      <c r="F161" s="41"/>
      <c r="G161" s="41"/>
      <c r="H161" s="10">
        <v>0.5</v>
      </c>
      <c r="I161" s="54">
        <f>VLOOKUP(A161,İstasyonlar!$A$2:$D$776,4,0)</f>
        <v>999999999</v>
      </c>
      <c r="J161">
        <f t="shared" si="5"/>
        <v>48</v>
      </c>
      <c r="K161" t="str">
        <f t="shared" si="4"/>
        <v>Sabit</v>
      </c>
    </row>
    <row r="162" spans="1:11" x14ac:dyDescent="0.3">
      <c r="A162" s="59" t="s">
        <v>43</v>
      </c>
      <c r="B162" s="48" t="s">
        <v>219</v>
      </c>
      <c r="C162" s="41" t="s">
        <v>659</v>
      </c>
      <c r="D162" s="41" t="s">
        <v>660</v>
      </c>
      <c r="E162" s="41"/>
      <c r="F162" s="41"/>
      <c r="G162" s="41"/>
      <c r="H162" s="10">
        <v>5.0999999999999996</v>
      </c>
      <c r="I162" s="54">
        <f>VLOOKUP(A162,İstasyonlar!$A$2:$D$776,4,0)</f>
        <v>1000000</v>
      </c>
      <c r="J162">
        <f t="shared" si="5"/>
        <v>49</v>
      </c>
      <c r="K162" t="str">
        <f t="shared" si="4"/>
        <v/>
      </c>
    </row>
    <row r="163" spans="1:11" x14ac:dyDescent="0.3">
      <c r="A163" s="59" t="s">
        <v>43</v>
      </c>
      <c r="B163" s="48" t="s">
        <v>220</v>
      </c>
      <c r="C163" s="41" t="s">
        <v>659</v>
      </c>
      <c r="D163" s="41" t="s">
        <v>660</v>
      </c>
      <c r="E163" s="41"/>
      <c r="F163" s="41"/>
      <c r="G163" s="41"/>
      <c r="H163" s="10">
        <v>6</v>
      </c>
      <c r="I163" s="54">
        <f>VLOOKUP(A163,İstasyonlar!$A$2:$D$776,4,0)</f>
        <v>1000000</v>
      </c>
      <c r="J163">
        <f t="shared" si="5"/>
        <v>49</v>
      </c>
      <c r="K163" t="str">
        <f t="shared" si="4"/>
        <v/>
      </c>
    </row>
    <row r="164" spans="1:11" x14ac:dyDescent="0.3">
      <c r="A164" s="59" t="s">
        <v>43</v>
      </c>
      <c r="B164" s="48" t="s">
        <v>221</v>
      </c>
      <c r="C164" s="41" t="s">
        <v>659</v>
      </c>
      <c r="D164" s="41" t="s">
        <v>660</v>
      </c>
      <c r="E164" s="41"/>
      <c r="F164" s="41"/>
      <c r="G164" s="41"/>
      <c r="H164" s="10">
        <v>3.8</v>
      </c>
      <c r="I164" s="54">
        <f>VLOOKUP(A164,İstasyonlar!$A$2:$D$776,4,0)</f>
        <v>1000000</v>
      </c>
      <c r="J164">
        <f t="shared" si="5"/>
        <v>49</v>
      </c>
      <c r="K164" t="str">
        <f t="shared" si="4"/>
        <v/>
      </c>
    </row>
    <row r="165" spans="1:11" x14ac:dyDescent="0.3">
      <c r="A165" s="59" t="s">
        <v>31</v>
      </c>
      <c r="B165" s="48" t="s">
        <v>222</v>
      </c>
      <c r="C165" s="41" t="s">
        <v>660</v>
      </c>
      <c r="D165" s="41" t="s">
        <v>659</v>
      </c>
      <c r="E165" s="41"/>
      <c r="F165" s="41"/>
      <c r="G165" s="41"/>
      <c r="H165" s="10">
        <v>8.5</v>
      </c>
      <c r="I165" s="54">
        <f>VLOOKUP(A165,İstasyonlar!$A$2:$D$776,4,0)</f>
        <v>1000000</v>
      </c>
      <c r="J165">
        <f t="shared" si="5"/>
        <v>50</v>
      </c>
      <c r="K165" t="str">
        <f t="shared" si="4"/>
        <v/>
      </c>
    </row>
    <row r="166" spans="1:11" x14ac:dyDescent="0.3">
      <c r="A166" s="59" t="s">
        <v>31</v>
      </c>
      <c r="B166" s="48" t="s">
        <v>223</v>
      </c>
      <c r="C166" s="41" t="s">
        <v>660</v>
      </c>
      <c r="D166" s="41" t="s">
        <v>659</v>
      </c>
      <c r="E166" s="41"/>
      <c r="F166" s="41"/>
      <c r="G166" s="41"/>
      <c r="H166" s="10">
        <v>2.5</v>
      </c>
      <c r="I166" s="54">
        <f>VLOOKUP(A166,İstasyonlar!$A$2:$D$776,4,0)</f>
        <v>1000000</v>
      </c>
      <c r="J166">
        <f t="shared" si="5"/>
        <v>50</v>
      </c>
      <c r="K166" t="str">
        <f t="shared" si="4"/>
        <v/>
      </c>
    </row>
    <row r="167" spans="1:11" x14ac:dyDescent="0.3">
      <c r="A167" s="59" t="s">
        <v>31</v>
      </c>
      <c r="B167" s="48" t="s">
        <v>224</v>
      </c>
      <c r="C167" s="41" t="s">
        <v>660</v>
      </c>
      <c r="D167" s="41" t="s">
        <v>659</v>
      </c>
      <c r="E167" s="41"/>
      <c r="F167" s="41"/>
      <c r="G167" s="41"/>
      <c r="H167" s="10">
        <v>2.8</v>
      </c>
      <c r="I167" s="54">
        <f>VLOOKUP(A167,İstasyonlar!$A$2:$D$776,4,0)</f>
        <v>1000000</v>
      </c>
      <c r="J167">
        <f t="shared" si="5"/>
        <v>50</v>
      </c>
      <c r="K167" t="str">
        <f t="shared" si="4"/>
        <v/>
      </c>
    </row>
    <row r="168" spans="1:11" x14ac:dyDescent="0.3">
      <c r="A168" s="59" t="s">
        <v>44</v>
      </c>
      <c r="B168" s="48" t="s">
        <v>225</v>
      </c>
      <c r="C168" s="41" t="s">
        <v>662</v>
      </c>
      <c r="D168" s="41"/>
      <c r="E168" s="41"/>
      <c r="F168" s="41"/>
      <c r="G168" s="41"/>
      <c r="H168" s="10">
        <v>3.8</v>
      </c>
      <c r="I168" s="54">
        <f>VLOOKUP(A168,İstasyonlar!$A$2:$D$776,4,0)</f>
        <v>999999999</v>
      </c>
      <c r="J168">
        <f t="shared" si="5"/>
        <v>51</v>
      </c>
      <c r="K168" t="str">
        <f t="shared" si="4"/>
        <v>Sabit</v>
      </c>
    </row>
    <row r="169" spans="1:11" x14ac:dyDescent="0.3">
      <c r="A169" s="59" t="s">
        <v>44</v>
      </c>
      <c r="B169" s="48" t="s">
        <v>226</v>
      </c>
      <c r="C169" s="41" t="s">
        <v>662</v>
      </c>
      <c r="D169" s="41"/>
      <c r="E169" s="41"/>
      <c r="F169" s="41"/>
      <c r="G169" s="41"/>
      <c r="H169" s="10">
        <v>3.5</v>
      </c>
      <c r="I169" s="54">
        <f>VLOOKUP(A169,İstasyonlar!$A$2:$D$776,4,0)</f>
        <v>999999999</v>
      </c>
      <c r="J169">
        <f t="shared" si="5"/>
        <v>51</v>
      </c>
      <c r="K169" t="str">
        <f t="shared" si="4"/>
        <v>Sabit</v>
      </c>
    </row>
    <row r="170" spans="1:11" x14ac:dyDescent="0.3">
      <c r="A170" s="59" t="s">
        <v>44</v>
      </c>
      <c r="B170" s="48" t="s">
        <v>227</v>
      </c>
      <c r="C170" s="41" t="s">
        <v>662</v>
      </c>
      <c r="D170" s="41"/>
      <c r="E170" s="41"/>
      <c r="F170" s="41"/>
      <c r="G170" s="41"/>
      <c r="H170" s="10">
        <v>3.8</v>
      </c>
      <c r="I170" s="54">
        <f>VLOOKUP(A170,İstasyonlar!$A$2:$D$776,4,0)</f>
        <v>999999999</v>
      </c>
      <c r="J170">
        <f t="shared" si="5"/>
        <v>51</v>
      </c>
      <c r="K170" t="str">
        <f t="shared" si="4"/>
        <v>Sabit</v>
      </c>
    </row>
    <row r="171" spans="1:11" x14ac:dyDescent="0.3">
      <c r="A171" s="59" t="s">
        <v>285</v>
      </c>
      <c r="B171" s="48" t="s">
        <v>297</v>
      </c>
      <c r="C171" s="41" t="s">
        <v>663</v>
      </c>
      <c r="D171" s="41"/>
      <c r="E171" s="41" t="s">
        <v>629</v>
      </c>
      <c r="F171" s="41"/>
      <c r="G171" s="41"/>
      <c r="H171" s="10">
        <v>0.5</v>
      </c>
      <c r="I171" s="54">
        <f>VLOOKUP(A171,İstasyonlar!$A$2:$D$776,4,0)</f>
        <v>1000000</v>
      </c>
      <c r="J171">
        <f t="shared" si="5"/>
        <v>52</v>
      </c>
      <c r="K171" t="str">
        <f t="shared" si="4"/>
        <v/>
      </c>
    </row>
    <row r="172" spans="1:11" x14ac:dyDescent="0.3">
      <c r="A172" s="59" t="s">
        <v>285</v>
      </c>
      <c r="B172" s="48" t="s">
        <v>298</v>
      </c>
      <c r="C172" s="41" t="s">
        <v>663</v>
      </c>
      <c r="D172" s="41"/>
      <c r="E172" s="41" t="s">
        <v>629</v>
      </c>
      <c r="F172" s="41"/>
      <c r="G172" s="41"/>
      <c r="H172" s="10">
        <v>3.4</v>
      </c>
      <c r="I172" s="54">
        <f>VLOOKUP(A172,İstasyonlar!$A$2:$D$776,4,0)</f>
        <v>1000000</v>
      </c>
      <c r="J172">
        <f t="shared" si="5"/>
        <v>52</v>
      </c>
      <c r="K172" t="str">
        <f t="shared" si="4"/>
        <v/>
      </c>
    </row>
    <row r="173" spans="1:11" x14ac:dyDescent="0.3">
      <c r="A173" s="59" t="s">
        <v>285</v>
      </c>
      <c r="B173" s="48" t="s">
        <v>299</v>
      </c>
      <c r="C173" s="41" t="s">
        <v>663</v>
      </c>
      <c r="D173" s="41"/>
      <c r="E173" s="41" t="s">
        <v>629</v>
      </c>
      <c r="F173" s="41"/>
      <c r="G173" s="41"/>
      <c r="H173" s="10">
        <v>2.1</v>
      </c>
      <c r="I173" s="54">
        <f>VLOOKUP(A173,İstasyonlar!$A$2:$D$776,4,0)</f>
        <v>1000000</v>
      </c>
      <c r="J173">
        <f t="shared" si="5"/>
        <v>52</v>
      </c>
      <c r="K173" t="str">
        <f t="shared" si="4"/>
        <v/>
      </c>
    </row>
    <row r="174" spans="1:11" x14ac:dyDescent="0.3">
      <c r="A174" s="59" t="s">
        <v>285</v>
      </c>
      <c r="B174" s="48" t="s">
        <v>300</v>
      </c>
      <c r="C174" s="41" t="s">
        <v>663</v>
      </c>
      <c r="D174" s="41"/>
      <c r="E174" s="41" t="s">
        <v>629</v>
      </c>
      <c r="F174" s="41"/>
      <c r="G174" s="41"/>
      <c r="H174" s="10">
        <v>7</v>
      </c>
      <c r="I174" s="54">
        <f>VLOOKUP(A174,İstasyonlar!$A$2:$D$776,4,0)</f>
        <v>1000000</v>
      </c>
      <c r="J174">
        <f t="shared" si="5"/>
        <v>52</v>
      </c>
      <c r="K174" t="str">
        <f t="shared" si="4"/>
        <v/>
      </c>
    </row>
    <row r="175" spans="1:11" x14ac:dyDescent="0.3">
      <c r="A175" s="59" t="s">
        <v>285</v>
      </c>
      <c r="B175" s="48" t="s">
        <v>301</v>
      </c>
      <c r="C175" s="41" t="s">
        <v>663</v>
      </c>
      <c r="D175" s="41"/>
      <c r="E175" s="41" t="s">
        <v>629</v>
      </c>
      <c r="F175" s="41"/>
      <c r="G175" s="41"/>
      <c r="H175" s="10">
        <v>4</v>
      </c>
      <c r="I175" s="54">
        <f>VLOOKUP(A175,İstasyonlar!$A$2:$D$776,4,0)</f>
        <v>1000000</v>
      </c>
      <c r="J175">
        <f t="shared" si="5"/>
        <v>52</v>
      </c>
      <c r="K175" t="str">
        <f t="shared" si="4"/>
        <v/>
      </c>
    </row>
    <row r="176" spans="1:11" x14ac:dyDescent="0.3">
      <c r="A176" s="59" t="s">
        <v>45</v>
      </c>
      <c r="B176" s="48" t="s">
        <v>228</v>
      </c>
      <c r="C176" s="41" t="s">
        <v>664</v>
      </c>
      <c r="D176" s="41" t="s">
        <v>663</v>
      </c>
      <c r="E176" s="41"/>
      <c r="F176" s="41"/>
      <c r="G176" s="41"/>
      <c r="H176" s="10">
        <v>3.4</v>
      </c>
      <c r="I176" s="54">
        <f>VLOOKUP(A176,İstasyonlar!$A$2:$D$776,4,0)</f>
        <v>1000000</v>
      </c>
      <c r="J176">
        <f t="shared" si="5"/>
        <v>53</v>
      </c>
      <c r="K176" t="str">
        <f t="shared" si="4"/>
        <v/>
      </c>
    </row>
    <row r="177" spans="1:11" x14ac:dyDescent="0.3">
      <c r="A177" s="59" t="s">
        <v>45</v>
      </c>
      <c r="B177" s="48" t="s">
        <v>229</v>
      </c>
      <c r="C177" s="41" t="s">
        <v>664</v>
      </c>
      <c r="D177" s="41" t="s">
        <v>663</v>
      </c>
      <c r="E177" s="41"/>
      <c r="F177" s="41"/>
      <c r="G177" s="41"/>
      <c r="H177" s="10">
        <v>6.4</v>
      </c>
      <c r="I177" s="54">
        <f>VLOOKUP(A177,İstasyonlar!$A$2:$D$776,4,0)</f>
        <v>1000000</v>
      </c>
      <c r="J177">
        <f t="shared" si="5"/>
        <v>53</v>
      </c>
      <c r="K177" t="str">
        <f t="shared" si="4"/>
        <v/>
      </c>
    </row>
    <row r="178" spans="1:11" x14ac:dyDescent="0.3">
      <c r="A178" s="59" t="s">
        <v>45</v>
      </c>
      <c r="B178" s="48" t="s">
        <v>230</v>
      </c>
      <c r="C178" s="41" t="s">
        <v>664</v>
      </c>
      <c r="D178" s="41" t="s">
        <v>663</v>
      </c>
      <c r="E178" s="41"/>
      <c r="F178" s="41"/>
      <c r="G178" s="41"/>
      <c r="H178" s="10">
        <v>4.2</v>
      </c>
      <c r="I178" s="54">
        <f>VLOOKUP(A178,İstasyonlar!$A$2:$D$776,4,0)</f>
        <v>1000000</v>
      </c>
      <c r="J178">
        <f t="shared" si="5"/>
        <v>53</v>
      </c>
      <c r="K178" t="str">
        <f t="shared" si="4"/>
        <v/>
      </c>
    </row>
    <row r="179" spans="1:11" x14ac:dyDescent="0.3">
      <c r="A179" s="59" t="s">
        <v>45</v>
      </c>
      <c r="B179" s="48" t="s">
        <v>231</v>
      </c>
      <c r="C179" s="41" t="s">
        <v>664</v>
      </c>
      <c r="D179" s="41" t="s">
        <v>663</v>
      </c>
      <c r="E179" s="41"/>
      <c r="F179" s="41"/>
      <c r="G179" s="41"/>
      <c r="H179" s="10">
        <v>1.5</v>
      </c>
      <c r="I179" s="54">
        <f>VLOOKUP(A179,İstasyonlar!$A$2:$D$776,4,0)</f>
        <v>1000000</v>
      </c>
      <c r="J179">
        <f t="shared" si="5"/>
        <v>53</v>
      </c>
      <c r="K179" t="str">
        <f t="shared" si="4"/>
        <v/>
      </c>
    </row>
    <row r="180" spans="1:11" x14ac:dyDescent="0.3">
      <c r="A180" s="59" t="s">
        <v>46</v>
      </c>
      <c r="B180" s="48" t="s">
        <v>232</v>
      </c>
      <c r="C180" s="41" t="s">
        <v>665</v>
      </c>
      <c r="D180" s="41"/>
      <c r="E180" s="41"/>
      <c r="F180" s="41"/>
      <c r="G180" s="41"/>
      <c r="H180" s="10">
        <v>0.5</v>
      </c>
      <c r="I180" s="54">
        <f>VLOOKUP(A180,İstasyonlar!$A$2:$D$776,4,0)</f>
        <v>1000000</v>
      </c>
      <c r="J180">
        <f t="shared" si="5"/>
        <v>54</v>
      </c>
      <c r="K180" t="str">
        <f t="shared" si="4"/>
        <v/>
      </c>
    </row>
    <row r="181" spans="1:11" x14ac:dyDescent="0.3">
      <c r="A181" s="59" t="s">
        <v>46</v>
      </c>
      <c r="B181" s="48" t="s">
        <v>233</v>
      </c>
      <c r="C181" s="41" t="s">
        <v>665</v>
      </c>
      <c r="D181" s="41"/>
      <c r="E181" s="41"/>
      <c r="F181" s="41"/>
      <c r="G181" s="41"/>
      <c r="H181" s="10">
        <v>3.1</v>
      </c>
      <c r="I181" s="54">
        <f>VLOOKUP(A181,İstasyonlar!$A$2:$D$776,4,0)</f>
        <v>1000000</v>
      </c>
      <c r="J181">
        <f t="shared" si="5"/>
        <v>54</v>
      </c>
      <c r="K181" t="str">
        <f t="shared" si="4"/>
        <v/>
      </c>
    </row>
    <row r="182" spans="1:11" x14ac:dyDescent="0.3">
      <c r="A182" s="59" t="s">
        <v>46</v>
      </c>
      <c r="B182" s="48" t="s">
        <v>234</v>
      </c>
      <c r="C182" s="41" t="s">
        <v>665</v>
      </c>
      <c r="D182" s="41"/>
      <c r="E182" s="41"/>
      <c r="F182" s="41"/>
      <c r="G182" s="41"/>
      <c r="H182" s="10">
        <v>4.2</v>
      </c>
      <c r="I182" s="54">
        <f>VLOOKUP(A182,İstasyonlar!$A$2:$D$776,4,0)</f>
        <v>1000000</v>
      </c>
      <c r="J182">
        <f t="shared" si="5"/>
        <v>54</v>
      </c>
      <c r="K182" t="str">
        <f t="shared" si="4"/>
        <v/>
      </c>
    </row>
    <row r="183" spans="1:11" x14ac:dyDescent="0.3">
      <c r="A183" s="59" t="s">
        <v>46</v>
      </c>
      <c r="B183" s="48" t="s">
        <v>235</v>
      </c>
      <c r="C183" s="41" t="s">
        <v>665</v>
      </c>
      <c r="D183" s="41"/>
      <c r="E183" s="41"/>
      <c r="F183" s="41"/>
      <c r="G183" s="41"/>
      <c r="H183" s="10">
        <v>2.1</v>
      </c>
      <c r="I183" s="54">
        <f>VLOOKUP(A183,İstasyonlar!$A$2:$D$776,4,0)</f>
        <v>1000000</v>
      </c>
      <c r="J183">
        <f t="shared" si="5"/>
        <v>54</v>
      </c>
      <c r="K183" t="str">
        <f t="shared" si="4"/>
        <v/>
      </c>
    </row>
    <row r="184" spans="1:11" x14ac:dyDescent="0.3">
      <c r="A184" s="59" t="s">
        <v>46</v>
      </c>
      <c r="B184" s="48" t="s">
        <v>236</v>
      </c>
      <c r="C184" s="41" t="s">
        <v>665</v>
      </c>
      <c r="D184" s="41"/>
      <c r="E184" s="41"/>
      <c r="F184" s="41"/>
      <c r="G184" s="41"/>
      <c r="H184" s="10">
        <v>0.5</v>
      </c>
      <c r="I184" s="54">
        <f>VLOOKUP(A184,İstasyonlar!$A$2:$D$776,4,0)</f>
        <v>1000000</v>
      </c>
      <c r="J184">
        <f t="shared" si="5"/>
        <v>54</v>
      </c>
      <c r="K184" t="str">
        <f t="shared" si="4"/>
        <v/>
      </c>
    </row>
    <row r="185" spans="1:11" x14ac:dyDescent="0.3">
      <c r="A185" s="59" t="s">
        <v>46</v>
      </c>
      <c r="B185" s="48" t="s">
        <v>237</v>
      </c>
      <c r="C185" s="41" t="s">
        <v>665</v>
      </c>
      <c r="D185" s="41"/>
      <c r="E185" s="41"/>
      <c r="F185" s="41"/>
      <c r="G185" s="41"/>
      <c r="H185" s="10">
        <v>0.5</v>
      </c>
      <c r="I185" s="54">
        <f>VLOOKUP(A185,İstasyonlar!$A$2:$D$776,4,0)</f>
        <v>1000000</v>
      </c>
      <c r="J185">
        <f t="shared" si="5"/>
        <v>54</v>
      </c>
      <c r="K185" t="str">
        <f t="shared" si="4"/>
        <v/>
      </c>
    </row>
    <row r="186" spans="1:11" x14ac:dyDescent="0.3">
      <c r="A186" s="59" t="s">
        <v>47</v>
      </c>
      <c r="B186" s="48" t="s">
        <v>238</v>
      </c>
      <c r="C186" s="41" t="s">
        <v>666</v>
      </c>
      <c r="D186" s="41" t="s">
        <v>634</v>
      </c>
      <c r="E186" s="41"/>
      <c r="F186" s="41"/>
      <c r="G186" s="41"/>
      <c r="H186" s="10">
        <v>1.5</v>
      </c>
      <c r="I186" s="54">
        <f>VLOOKUP(A186,İstasyonlar!$A$2:$D$776,4,0)</f>
        <v>999999999</v>
      </c>
      <c r="J186">
        <f t="shared" si="5"/>
        <v>55</v>
      </c>
      <c r="K186" t="str">
        <f t="shared" si="4"/>
        <v>Sabit</v>
      </c>
    </row>
    <row r="187" spans="1:11" x14ac:dyDescent="0.3">
      <c r="A187" s="59" t="s">
        <v>47</v>
      </c>
      <c r="B187" s="48" t="s">
        <v>239</v>
      </c>
      <c r="C187" s="41" t="s">
        <v>666</v>
      </c>
      <c r="D187" s="41" t="s">
        <v>634</v>
      </c>
      <c r="E187" s="41"/>
      <c r="F187" s="41"/>
      <c r="G187" s="41"/>
      <c r="H187" s="10">
        <v>4.3</v>
      </c>
      <c r="I187" s="54">
        <f>VLOOKUP(A187,İstasyonlar!$A$2:$D$776,4,0)</f>
        <v>999999999</v>
      </c>
      <c r="J187">
        <f t="shared" si="5"/>
        <v>55</v>
      </c>
      <c r="K187" t="str">
        <f t="shared" si="4"/>
        <v>Sabit</v>
      </c>
    </row>
    <row r="188" spans="1:11" x14ac:dyDescent="0.3">
      <c r="A188" s="59" t="s">
        <v>47</v>
      </c>
      <c r="B188" s="48" t="s">
        <v>240</v>
      </c>
      <c r="C188" s="41" t="s">
        <v>666</v>
      </c>
      <c r="D188" s="41" t="s">
        <v>634</v>
      </c>
      <c r="E188" s="41"/>
      <c r="F188" s="41"/>
      <c r="G188" s="41"/>
      <c r="H188" s="10">
        <v>4.5</v>
      </c>
      <c r="I188" s="54">
        <f>VLOOKUP(A188,İstasyonlar!$A$2:$D$776,4,0)</f>
        <v>999999999</v>
      </c>
      <c r="J188">
        <f t="shared" si="5"/>
        <v>55</v>
      </c>
      <c r="K188" t="str">
        <f t="shared" si="4"/>
        <v>Sabit</v>
      </c>
    </row>
    <row r="189" spans="1:11" x14ac:dyDescent="0.3">
      <c r="A189" s="59" t="s">
        <v>47</v>
      </c>
      <c r="B189" s="48" t="s">
        <v>241</v>
      </c>
      <c r="C189" s="41" t="s">
        <v>666</v>
      </c>
      <c r="D189" s="41" t="s">
        <v>634</v>
      </c>
      <c r="E189" s="41"/>
      <c r="F189" s="41"/>
      <c r="G189" s="41"/>
      <c r="H189" s="10">
        <v>2.8</v>
      </c>
      <c r="I189" s="54">
        <f>VLOOKUP(A189,İstasyonlar!$A$2:$D$776,4,0)</f>
        <v>999999999</v>
      </c>
      <c r="J189">
        <f t="shared" si="5"/>
        <v>55</v>
      </c>
      <c r="K189" t="str">
        <f t="shared" si="4"/>
        <v>Sabit</v>
      </c>
    </row>
    <row r="190" spans="1:11" x14ac:dyDescent="0.3">
      <c r="A190" s="59" t="s">
        <v>47</v>
      </c>
      <c r="B190" s="48" t="s">
        <v>242</v>
      </c>
      <c r="C190" s="41" t="s">
        <v>666</v>
      </c>
      <c r="D190" s="41" t="s">
        <v>634</v>
      </c>
      <c r="E190" s="41"/>
      <c r="F190" s="41"/>
      <c r="G190" s="41"/>
      <c r="H190" s="10">
        <v>6.4</v>
      </c>
      <c r="I190" s="54">
        <f>VLOOKUP(A190,İstasyonlar!$A$2:$D$776,4,0)</f>
        <v>999999999</v>
      </c>
      <c r="J190">
        <f t="shared" si="5"/>
        <v>55</v>
      </c>
      <c r="K190" t="str">
        <f t="shared" si="4"/>
        <v>Sabit</v>
      </c>
    </row>
    <row r="191" spans="1:11" x14ac:dyDescent="0.3">
      <c r="A191" s="59" t="s">
        <v>403</v>
      </c>
      <c r="B191" s="48" t="s">
        <v>490</v>
      </c>
      <c r="C191" s="41" t="s">
        <v>634</v>
      </c>
      <c r="D191" s="41" t="s">
        <v>668</v>
      </c>
      <c r="E191" s="41"/>
      <c r="F191" s="41"/>
      <c r="G191" s="41"/>
      <c r="H191" s="10">
        <v>5</v>
      </c>
      <c r="I191" s="54">
        <f>VLOOKUP(A191,İstasyonlar!$A$2:$D$776,4,0)</f>
        <v>999999999</v>
      </c>
      <c r="J191">
        <f t="shared" si="5"/>
        <v>56</v>
      </c>
      <c r="K191" t="str">
        <f t="shared" si="4"/>
        <v>Sabit</v>
      </c>
    </row>
    <row r="192" spans="1:11" x14ac:dyDescent="0.3">
      <c r="A192" s="59" t="s">
        <v>403</v>
      </c>
      <c r="B192" s="48" t="s">
        <v>491</v>
      </c>
      <c r="C192" s="41" t="s">
        <v>634</v>
      </c>
      <c r="D192" s="41" t="s">
        <v>668</v>
      </c>
      <c r="E192" s="41"/>
      <c r="F192" s="41"/>
      <c r="G192" s="41"/>
      <c r="H192" s="10">
        <v>0.8</v>
      </c>
      <c r="I192" s="54">
        <f>VLOOKUP(A192,İstasyonlar!$A$2:$D$776,4,0)</f>
        <v>999999999</v>
      </c>
      <c r="J192">
        <f t="shared" si="5"/>
        <v>56</v>
      </c>
      <c r="K192" t="str">
        <f t="shared" si="4"/>
        <v>Sabit</v>
      </c>
    </row>
    <row r="193" spans="1:11" x14ac:dyDescent="0.3">
      <c r="A193" s="59" t="s">
        <v>403</v>
      </c>
      <c r="B193" s="48" t="s">
        <v>492</v>
      </c>
      <c r="C193" s="41" t="s">
        <v>634</v>
      </c>
      <c r="D193" s="41" t="s">
        <v>668</v>
      </c>
      <c r="E193" s="41"/>
      <c r="F193" s="41"/>
      <c r="G193" s="41"/>
      <c r="H193" s="10">
        <v>1.5</v>
      </c>
      <c r="I193" s="54">
        <f>VLOOKUP(A193,İstasyonlar!$A$2:$D$776,4,0)</f>
        <v>999999999</v>
      </c>
      <c r="J193">
        <f t="shared" si="5"/>
        <v>56</v>
      </c>
      <c r="K193" t="str">
        <f t="shared" si="4"/>
        <v>Sabit</v>
      </c>
    </row>
    <row r="194" spans="1:11" x14ac:dyDescent="0.3">
      <c r="A194" s="59" t="s">
        <v>403</v>
      </c>
      <c r="B194" s="48" t="s">
        <v>493</v>
      </c>
      <c r="C194" s="41" t="s">
        <v>634</v>
      </c>
      <c r="D194" s="41" t="s">
        <v>668</v>
      </c>
      <c r="E194" s="41"/>
      <c r="F194" s="41"/>
      <c r="G194" s="41"/>
      <c r="H194" s="10">
        <v>2.1</v>
      </c>
      <c r="I194" s="54">
        <f>VLOOKUP(A194,İstasyonlar!$A$2:$D$776,4,0)</f>
        <v>999999999</v>
      </c>
      <c r="J194">
        <f t="shared" si="5"/>
        <v>56</v>
      </c>
      <c r="K194" t="str">
        <f t="shared" ref="K194:K257" si="6">IF(I194=1000000,"","Sabit")</f>
        <v>Sabit</v>
      </c>
    </row>
    <row r="195" spans="1:11" x14ac:dyDescent="0.3">
      <c r="A195" s="59" t="s">
        <v>403</v>
      </c>
      <c r="B195" s="48" t="s">
        <v>494</v>
      </c>
      <c r="C195" s="41" t="s">
        <v>634</v>
      </c>
      <c r="D195" s="41" t="s">
        <v>668</v>
      </c>
      <c r="E195" s="41"/>
      <c r="F195" s="41"/>
      <c r="G195" s="41"/>
      <c r="H195" s="10">
        <v>1</v>
      </c>
      <c r="I195" s="54">
        <f>VLOOKUP(A195,İstasyonlar!$A$2:$D$776,4,0)</f>
        <v>999999999</v>
      </c>
      <c r="J195">
        <f t="shared" ref="J195:J258" si="7">IF(A195=A194, J194, J194+1)</f>
        <v>56</v>
      </c>
      <c r="K195" t="str">
        <f t="shared" si="6"/>
        <v>Sabit</v>
      </c>
    </row>
    <row r="196" spans="1:11" x14ac:dyDescent="0.3">
      <c r="A196" s="59" t="s">
        <v>403</v>
      </c>
      <c r="B196" s="48" t="s">
        <v>495</v>
      </c>
      <c r="C196" s="41" t="s">
        <v>634</v>
      </c>
      <c r="D196" s="41" t="s">
        <v>668</v>
      </c>
      <c r="E196" s="41"/>
      <c r="F196" s="41"/>
      <c r="G196" s="41"/>
      <c r="H196" s="10">
        <v>2.1</v>
      </c>
      <c r="I196" s="54">
        <f>VLOOKUP(A196,İstasyonlar!$A$2:$D$776,4,0)</f>
        <v>999999999</v>
      </c>
      <c r="J196">
        <f t="shared" si="7"/>
        <v>56</v>
      </c>
      <c r="K196" t="str">
        <f t="shared" si="6"/>
        <v>Sabit</v>
      </c>
    </row>
    <row r="197" spans="1:11" x14ac:dyDescent="0.3">
      <c r="A197" s="59" t="s">
        <v>48</v>
      </c>
      <c r="B197" s="48" t="s">
        <v>304</v>
      </c>
      <c r="C197" s="41" t="s">
        <v>674</v>
      </c>
      <c r="D197" s="41" t="s">
        <v>666</v>
      </c>
      <c r="E197" s="41"/>
      <c r="F197" s="41"/>
      <c r="G197" s="41"/>
      <c r="H197" s="10">
        <v>2.6</v>
      </c>
      <c r="I197" s="54">
        <f>VLOOKUP(A197,İstasyonlar!$A$2:$D$776,4,0)</f>
        <v>1000000</v>
      </c>
      <c r="J197">
        <f t="shared" si="7"/>
        <v>57</v>
      </c>
      <c r="K197" t="str">
        <f t="shared" si="6"/>
        <v/>
      </c>
    </row>
    <row r="198" spans="1:11" x14ac:dyDescent="0.3">
      <c r="A198" s="59" t="s">
        <v>48</v>
      </c>
      <c r="B198" s="48" t="s">
        <v>305</v>
      </c>
      <c r="C198" s="41" t="s">
        <v>674</v>
      </c>
      <c r="D198" s="41" t="s">
        <v>666</v>
      </c>
      <c r="E198" s="41"/>
      <c r="F198" s="41"/>
      <c r="G198" s="41"/>
      <c r="H198" s="10">
        <v>2.6</v>
      </c>
      <c r="I198" s="54">
        <f>VLOOKUP(A198,İstasyonlar!$A$2:$D$776,4,0)</f>
        <v>1000000</v>
      </c>
      <c r="J198">
        <f t="shared" si="7"/>
        <v>57</v>
      </c>
      <c r="K198" t="str">
        <f t="shared" si="6"/>
        <v/>
      </c>
    </row>
    <row r="199" spans="1:11" x14ac:dyDescent="0.3">
      <c r="A199" s="59" t="s">
        <v>48</v>
      </c>
      <c r="B199" s="48" t="s">
        <v>306</v>
      </c>
      <c r="C199" s="41" t="s">
        <v>674</v>
      </c>
      <c r="D199" s="41" t="s">
        <v>666</v>
      </c>
      <c r="E199" s="41"/>
      <c r="F199" s="41"/>
      <c r="G199" s="41"/>
      <c r="H199" s="10">
        <v>3.8</v>
      </c>
      <c r="I199" s="54">
        <f>VLOOKUP(A199,İstasyonlar!$A$2:$D$776,4,0)</f>
        <v>1000000</v>
      </c>
      <c r="J199">
        <f t="shared" si="7"/>
        <v>57</v>
      </c>
      <c r="K199" t="str">
        <f t="shared" si="6"/>
        <v/>
      </c>
    </row>
    <row r="200" spans="1:11" x14ac:dyDescent="0.3">
      <c r="A200" s="59" t="s">
        <v>48</v>
      </c>
      <c r="B200" s="48" t="s">
        <v>307</v>
      </c>
      <c r="C200" s="41" t="s">
        <v>674</v>
      </c>
      <c r="D200" s="41" t="s">
        <v>666</v>
      </c>
      <c r="E200" s="41"/>
      <c r="F200" s="41"/>
      <c r="G200" s="41"/>
      <c r="H200" s="10">
        <v>4</v>
      </c>
      <c r="I200" s="54">
        <f>VLOOKUP(A200,İstasyonlar!$A$2:$D$776,4,0)</f>
        <v>1000000</v>
      </c>
      <c r="J200">
        <f t="shared" si="7"/>
        <v>57</v>
      </c>
      <c r="K200" t="str">
        <f t="shared" si="6"/>
        <v/>
      </c>
    </row>
    <row r="201" spans="1:11" x14ac:dyDescent="0.3">
      <c r="A201" s="59" t="s">
        <v>48</v>
      </c>
      <c r="B201" s="48" t="s">
        <v>308</v>
      </c>
      <c r="C201" s="41" t="s">
        <v>674</v>
      </c>
      <c r="D201" s="41" t="s">
        <v>666</v>
      </c>
      <c r="E201" s="41"/>
      <c r="F201" s="41"/>
      <c r="G201" s="41"/>
      <c r="H201" s="10">
        <v>4</v>
      </c>
      <c r="I201" s="54">
        <f>VLOOKUP(A201,İstasyonlar!$A$2:$D$776,4,0)</f>
        <v>1000000</v>
      </c>
      <c r="J201">
        <f t="shared" si="7"/>
        <v>57</v>
      </c>
      <c r="K201" t="str">
        <f t="shared" si="6"/>
        <v/>
      </c>
    </row>
    <row r="202" spans="1:11" x14ac:dyDescent="0.3">
      <c r="A202" s="59" t="s">
        <v>48</v>
      </c>
      <c r="B202" s="48" t="s">
        <v>309</v>
      </c>
      <c r="C202" s="41" t="s">
        <v>674</v>
      </c>
      <c r="D202" s="41" t="s">
        <v>666</v>
      </c>
      <c r="E202" s="41"/>
      <c r="F202" s="41"/>
      <c r="G202" s="41"/>
      <c r="H202" s="10">
        <v>4</v>
      </c>
      <c r="I202" s="54">
        <f>VLOOKUP(A202,İstasyonlar!$A$2:$D$776,4,0)</f>
        <v>1000000</v>
      </c>
      <c r="J202">
        <f t="shared" si="7"/>
        <v>57</v>
      </c>
      <c r="K202" t="str">
        <f t="shared" si="6"/>
        <v/>
      </c>
    </row>
    <row r="203" spans="1:11" x14ac:dyDescent="0.3">
      <c r="A203" s="59" t="s">
        <v>49</v>
      </c>
      <c r="B203" s="48" t="s">
        <v>243</v>
      </c>
      <c r="C203" s="41" t="s">
        <v>675</v>
      </c>
      <c r="D203" s="41" t="s">
        <v>629</v>
      </c>
      <c r="E203" s="41" t="s">
        <v>662</v>
      </c>
      <c r="F203" s="41"/>
      <c r="G203" s="41"/>
      <c r="H203" s="10">
        <v>3.1</v>
      </c>
      <c r="I203" s="54">
        <f>VLOOKUP(A203,İstasyonlar!$A$2:$D$776,4,0)</f>
        <v>1000000</v>
      </c>
      <c r="J203">
        <f t="shared" si="7"/>
        <v>58</v>
      </c>
      <c r="K203" t="str">
        <f t="shared" si="6"/>
        <v/>
      </c>
    </row>
    <row r="204" spans="1:11" x14ac:dyDescent="0.3">
      <c r="A204" s="59" t="s">
        <v>49</v>
      </c>
      <c r="B204" s="48" t="s">
        <v>244</v>
      </c>
      <c r="C204" s="41" t="s">
        <v>675</v>
      </c>
      <c r="D204" s="41" t="s">
        <v>629</v>
      </c>
      <c r="E204" s="41" t="s">
        <v>662</v>
      </c>
      <c r="F204" s="41"/>
      <c r="G204" s="41"/>
      <c r="H204" s="10">
        <v>2.9</v>
      </c>
      <c r="I204" s="54">
        <f>VLOOKUP(A204,İstasyonlar!$A$2:$D$776,4,0)</f>
        <v>1000000</v>
      </c>
      <c r="J204">
        <f t="shared" si="7"/>
        <v>58</v>
      </c>
      <c r="K204" t="str">
        <f t="shared" si="6"/>
        <v/>
      </c>
    </row>
    <row r="205" spans="1:11" x14ac:dyDescent="0.3">
      <c r="A205" s="59" t="s">
        <v>49</v>
      </c>
      <c r="B205" s="48" t="s">
        <v>245</v>
      </c>
      <c r="C205" s="41" t="s">
        <v>675</v>
      </c>
      <c r="D205" s="41" t="s">
        <v>629</v>
      </c>
      <c r="E205" s="41" t="s">
        <v>662</v>
      </c>
      <c r="F205" s="41"/>
      <c r="G205" s="41"/>
      <c r="H205" s="10">
        <v>7.2</v>
      </c>
      <c r="I205" s="54">
        <f>VLOOKUP(A205,İstasyonlar!$A$2:$D$776,4,0)</f>
        <v>1000000</v>
      </c>
      <c r="J205">
        <f t="shared" si="7"/>
        <v>58</v>
      </c>
      <c r="K205" t="str">
        <f t="shared" si="6"/>
        <v/>
      </c>
    </row>
    <row r="206" spans="1:11" x14ac:dyDescent="0.3">
      <c r="A206" s="59" t="s">
        <v>49</v>
      </c>
      <c r="B206" s="48" t="s">
        <v>246</v>
      </c>
      <c r="C206" s="41" t="s">
        <v>675</v>
      </c>
      <c r="D206" s="41" t="s">
        <v>629</v>
      </c>
      <c r="E206" s="41" t="s">
        <v>662</v>
      </c>
      <c r="F206" s="41"/>
      <c r="G206" s="41"/>
      <c r="H206" s="10">
        <v>0.5</v>
      </c>
      <c r="I206" s="54">
        <f>VLOOKUP(A206,İstasyonlar!$A$2:$D$776,4,0)</f>
        <v>1000000</v>
      </c>
      <c r="J206">
        <f t="shared" si="7"/>
        <v>58</v>
      </c>
      <c r="K206" t="str">
        <f t="shared" si="6"/>
        <v/>
      </c>
    </row>
    <row r="207" spans="1:11" x14ac:dyDescent="0.3">
      <c r="A207" s="59" t="s">
        <v>50</v>
      </c>
      <c r="B207" s="48" t="s">
        <v>247</v>
      </c>
      <c r="C207" s="41" t="s">
        <v>744</v>
      </c>
      <c r="D207" s="41" t="s">
        <v>675</v>
      </c>
      <c r="E207" s="41" t="s">
        <v>664</v>
      </c>
      <c r="F207" s="41"/>
      <c r="G207" s="41"/>
      <c r="H207" s="10">
        <v>3.7</v>
      </c>
      <c r="I207" s="54">
        <f>VLOOKUP(A207,İstasyonlar!$A$2:$D$776,4,0)</f>
        <v>1000000</v>
      </c>
      <c r="J207">
        <f t="shared" si="7"/>
        <v>59</v>
      </c>
      <c r="K207" t="str">
        <f t="shared" si="6"/>
        <v/>
      </c>
    </row>
    <row r="208" spans="1:11" x14ac:dyDescent="0.3">
      <c r="A208" s="59" t="s">
        <v>50</v>
      </c>
      <c r="B208" s="48" t="s">
        <v>248</v>
      </c>
      <c r="C208" s="41" t="s">
        <v>744</v>
      </c>
      <c r="D208" s="41" t="s">
        <v>675</v>
      </c>
      <c r="E208" s="41" t="s">
        <v>664</v>
      </c>
      <c r="F208" s="41"/>
      <c r="G208" s="41"/>
      <c r="H208" s="10">
        <v>3.8</v>
      </c>
      <c r="I208" s="54">
        <f>VLOOKUP(A208,İstasyonlar!$A$2:$D$776,4,0)</f>
        <v>1000000</v>
      </c>
      <c r="J208">
        <f t="shared" si="7"/>
        <v>59</v>
      </c>
      <c r="K208" t="str">
        <f t="shared" si="6"/>
        <v/>
      </c>
    </row>
    <row r="209" spans="1:11" x14ac:dyDescent="0.3">
      <c r="A209" s="59" t="s">
        <v>50</v>
      </c>
      <c r="B209" s="48" t="s">
        <v>249</v>
      </c>
      <c r="C209" s="41" t="s">
        <v>744</v>
      </c>
      <c r="D209" s="41" t="s">
        <v>675</v>
      </c>
      <c r="E209" s="41" t="s">
        <v>664</v>
      </c>
      <c r="F209" s="41"/>
      <c r="G209" s="41"/>
      <c r="H209" s="10">
        <v>6.1</v>
      </c>
      <c r="I209" s="54">
        <f>VLOOKUP(A209,İstasyonlar!$A$2:$D$776,4,0)</f>
        <v>1000000</v>
      </c>
      <c r="J209">
        <f t="shared" si="7"/>
        <v>59</v>
      </c>
      <c r="K209" t="str">
        <f t="shared" si="6"/>
        <v/>
      </c>
    </row>
    <row r="210" spans="1:11" x14ac:dyDescent="0.3">
      <c r="A210" s="59" t="s">
        <v>50</v>
      </c>
      <c r="B210" s="48" t="s">
        <v>250</v>
      </c>
      <c r="C210" s="41" t="s">
        <v>744</v>
      </c>
      <c r="D210" s="41" t="s">
        <v>675</v>
      </c>
      <c r="E210" s="41" t="s">
        <v>664</v>
      </c>
      <c r="F210" s="41"/>
      <c r="G210" s="41"/>
      <c r="H210" s="10">
        <v>1</v>
      </c>
      <c r="I210" s="54">
        <f>VLOOKUP(A210,İstasyonlar!$A$2:$D$776,4,0)</f>
        <v>1000000</v>
      </c>
      <c r="J210">
        <f t="shared" si="7"/>
        <v>59</v>
      </c>
      <c r="K210" t="str">
        <f t="shared" si="6"/>
        <v/>
      </c>
    </row>
    <row r="211" spans="1:11" x14ac:dyDescent="0.3">
      <c r="A211" s="59" t="s">
        <v>51</v>
      </c>
      <c r="B211" s="48" t="s">
        <v>251</v>
      </c>
      <c r="C211" s="41" t="s">
        <v>629</v>
      </c>
      <c r="D211" s="41" t="s">
        <v>676</v>
      </c>
      <c r="E211" s="41"/>
      <c r="F211" s="41"/>
      <c r="G211" s="41"/>
      <c r="H211" s="10">
        <v>6.9</v>
      </c>
      <c r="I211" s="54">
        <f>VLOOKUP(A211,İstasyonlar!$A$2:$D$776,4,0)</f>
        <v>999999999</v>
      </c>
      <c r="J211">
        <f t="shared" si="7"/>
        <v>60</v>
      </c>
      <c r="K211" t="str">
        <f t="shared" si="6"/>
        <v>Sabit</v>
      </c>
    </row>
    <row r="212" spans="1:11" x14ac:dyDescent="0.3">
      <c r="A212" s="59" t="s">
        <v>51</v>
      </c>
      <c r="B212" s="48" t="s">
        <v>252</v>
      </c>
      <c r="C212" s="41" t="s">
        <v>629</v>
      </c>
      <c r="D212" s="41" t="s">
        <v>676</v>
      </c>
      <c r="E212" s="41"/>
      <c r="F212" s="41"/>
      <c r="G212" s="41"/>
      <c r="H212" s="10">
        <v>3.1</v>
      </c>
      <c r="I212" s="54">
        <f>VLOOKUP(A212,İstasyonlar!$A$2:$D$776,4,0)</f>
        <v>999999999</v>
      </c>
      <c r="J212">
        <f t="shared" si="7"/>
        <v>60</v>
      </c>
      <c r="K212" t="str">
        <f t="shared" si="6"/>
        <v>Sabit</v>
      </c>
    </row>
    <row r="213" spans="1:11" x14ac:dyDescent="0.3">
      <c r="A213" s="59" t="s">
        <v>51</v>
      </c>
      <c r="B213" s="48" t="s">
        <v>253</v>
      </c>
      <c r="C213" s="41" t="s">
        <v>629</v>
      </c>
      <c r="D213" s="41" t="s">
        <v>676</v>
      </c>
      <c r="E213" s="41"/>
      <c r="F213" s="41"/>
      <c r="G213" s="41"/>
      <c r="H213" s="10">
        <v>4.2</v>
      </c>
      <c r="I213" s="54">
        <f>VLOOKUP(A213,İstasyonlar!$A$2:$D$776,4,0)</f>
        <v>999999999</v>
      </c>
      <c r="J213">
        <f t="shared" si="7"/>
        <v>60</v>
      </c>
      <c r="K213" t="str">
        <f t="shared" si="6"/>
        <v>Sabit</v>
      </c>
    </row>
    <row r="214" spans="1:11" x14ac:dyDescent="0.3">
      <c r="A214" s="59" t="s">
        <v>52</v>
      </c>
      <c r="B214" s="48" t="s">
        <v>254</v>
      </c>
      <c r="C214" s="41" t="s">
        <v>676</v>
      </c>
      <c r="D214" s="41"/>
      <c r="E214" s="41"/>
      <c r="F214" s="41"/>
      <c r="G214" s="41"/>
      <c r="H214" s="10">
        <v>5.5</v>
      </c>
      <c r="I214" s="54">
        <f>VLOOKUP(A214,İstasyonlar!$A$2:$D$776,4,0)</f>
        <v>999999999</v>
      </c>
      <c r="J214">
        <f t="shared" si="7"/>
        <v>61</v>
      </c>
      <c r="K214" t="str">
        <f t="shared" si="6"/>
        <v>Sabit</v>
      </c>
    </row>
    <row r="215" spans="1:11" x14ac:dyDescent="0.3">
      <c r="A215" s="59" t="s">
        <v>52</v>
      </c>
      <c r="B215" s="48" t="s">
        <v>255</v>
      </c>
      <c r="C215" s="41" t="s">
        <v>676</v>
      </c>
      <c r="D215" s="41"/>
      <c r="E215" s="41"/>
      <c r="F215" s="41"/>
      <c r="G215" s="41"/>
      <c r="H215" s="10">
        <v>1.8</v>
      </c>
      <c r="I215" s="54">
        <f>VLOOKUP(A215,İstasyonlar!$A$2:$D$776,4,0)</f>
        <v>999999999</v>
      </c>
      <c r="J215">
        <f t="shared" si="7"/>
        <v>61</v>
      </c>
      <c r="K215" t="str">
        <f t="shared" si="6"/>
        <v>Sabit</v>
      </c>
    </row>
    <row r="216" spans="1:11" x14ac:dyDescent="0.3">
      <c r="A216" s="59" t="s">
        <v>52</v>
      </c>
      <c r="B216" s="48" t="s">
        <v>256</v>
      </c>
      <c r="C216" s="41" t="s">
        <v>676</v>
      </c>
      <c r="D216" s="41"/>
      <c r="E216" s="41"/>
      <c r="F216" s="41"/>
      <c r="G216" s="41"/>
      <c r="H216" s="10">
        <v>2.5</v>
      </c>
      <c r="I216" s="54">
        <f>VLOOKUP(A216,İstasyonlar!$A$2:$D$776,4,0)</f>
        <v>999999999</v>
      </c>
      <c r="J216">
        <f t="shared" si="7"/>
        <v>61</v>
      </c>
      <c r="K216" t="str">
        <f t="shared" si="6"/>
        <v>Sabit</v>
      </c>
    </row>
    <row r="217" spans="1:11" x14ac:dyDescent="0.3">
      <c r="A217" s="59" t="s">
        <v>53</v>
      </c>
      <c r="B217" s="48" t="s">
        <v>257</v>
      </c>
      <c r="C217" s="41" t="s">
        <v>677</v>
      </c>
      <c r="D217" s="41"/>
      <c r="E217" s="41"/>
      <c r="F217" s="41"/>
      <c r="G217" s="41"/>
      <c r="H217" s="10">
        <v>0.5</v>
      </c>
      <c r="I217" s="54">
        <f>VLOOKUP(A217,İstasyonlar!$A$2:$D$776,4,0)</f>
        <v>999999999</v>
      </c>
      <c r="J217">
        <f t="shared" si="7"/>
        <v>62</v>
      </c>
      <c r="K217" t="str">
        <f t="shared" si="6"/>
        <v>Sabit</v>
      </c>
    </row>
    <row r="218" spans="1:11" x14ac:dyDescent="0.3">
      <c r="A218" s="59" t="s">
        <v>53</v>
      </c>
      <c r="B218" s="48" t="s">
        <v>258</v>
      </c>
      <c r="C218" s="41" t="s">
        <v>677</v>
      </c>
      <c r="D218" s="41"/>
      <c r="E218" s="41"/>
      <c r="F218" s="41"/>
      <c r="G218" s="41"/>
      <c r="H218" s="10">
        <v>2.8</v>
      </c>
      <c r="I218" s="54">
        <f>VLOOKUP(A218,İstasyonlar!$A$2:$D$776,4,0)</f>
        <v>999999999</v>
      </c>
      <c r="J218">
        <f t="shared" si="7"/>
        <v>62</v>
      </c>
      <c r="K218" t="str">
        <f t="shared" si="6"/>
        <v>Sabit</v>
      </c>
    </row>
    <row r="219" spans="1:11" x14ac:dyDescent="0.3">
      <c r="A219" s="59" t="s">
        <v>53</v>
      </c>
      <c r="B219" s="48" t="s">
        <v>259</v>
      </c>
      <c r="C219" s="41" t="s">
        <v>677</v>
      </c>
      <c r="D219" s="41"/>
      <c r="E219" s="41"/>
      <c r="F219" s="41"/>
      <c r="G219" s="41"/>
      <c r="H219" s="10">
        <v>3.8</v>
      </c>
      <c r="I219" s="54">
        <f>VLOOKUP(A219,İstasyonlar!$A$2:$D$776,4,0)</f>
        <v>999999999</v>
      </c>
      <c r="J219">
        <f t="shared" si="7"/>
        <v>62</v>
      </c>
      <c r="K219" t="str">
        <f t="shared" si="6"/>
        <v>Sabit</v>
      </c>
    </row>
    <row r="220" spans="1:11" x14ac:dyDescent="0.3">
      <c r="A220" s="59" t="s">
        <v>53</v>
      </c>
      <c r="B220" s="48" t="s">
        <v>260</v>
      </c>
      <c r="C220" s="41" t="s">
        <v>677</v>
      </c>
      <c r="D220" s="41"/>
      <c r="E220" s="41"/>
      <c r="F220" s="41"/>
      <c r="G220" s="41"/>
      <c r="H220" s="10">
        <v>3.9</v>
      </c>
      <c r="I220" s="54">
        <f>VLOOKUP(A220,İstasyonlar!$A$2:$D$776,4,0)</f>
        <v>999999999</v>
      </c>
      <c r="J220">
        <f t="shared" si="7"/>
        <v>62</v>
      </c>
      <c r="K220" t="str">
        <f t="shared" si="6"/>
        <v>Sabit</v>
      </c>
    </row>
    <row r="221" spans="1:11" x14ac:dyDescent="0.3">
      <c r="A221" s="59" t="s">
        <v>53</v>
      </c>
      <c r="B221" s="48" t="s">
        <v>261</v>
      </c>
      <c r="C221" s="41" t="s">
        <v>677</v>
      </c>
      <c r="D221" s="41"/>
      <c r="E221" s="41"/>
      <c r="F221" s="41"/>
      <c r="G221" s="41"/>
      <c r="H221" s="10">
        <v>0.5</v>
      </c>
      <c r="I221" s="54">
        <f>VLOOKUP(A221,İstasyonlar!$A$2:$D$776,4,0)</f>
        <v>999999999</v>
      </c>
      <c r="J221">
        <f t="shared" si="7"/>
        <v>62</v>
      </c>
      <c r="K221" t="str">
        <f t="shared" si="6"/>
        <v>Sabit</v>
      </c>
    </row>
    <row r="222" spans="1:11" x14ac:dyDescent="0.3">
      <c r="A222" s="59" t="s">
        <v>53</v>
      </c>
      <c r="B222" s="48" t="s">
        <v>262</v>
      </c>
      <c r="C222" s="41" t="s">
        <v>677</v>
      </c>
      <c r="D222" s="41"/>
      <c r="E222" s="41"/>
      <c r="F222" s="41"/>
      <c r="G222" s="41"/>
      <c r="H222" s="10">
        <v>3.1</v>
      </c>
      <c r="I222" s="54">
        <f>VLOOKUP(A222,İstasyonlar!$A$2:$D$776,4,0)</f>
        <v>999999999</v>
      </c>
      <c r="J222">
        <f t="shared" si="7"/>
        <v>62</v>
      </c>
      <c r="K222" t="str">
        <f t="shared" si="6"/>
        <v>Sabit</v>
      </c>
    </row>
    <row r="223" spans="1:11" x14ac:dyDescent="0.3">
      <c r="A223" s="59" t="s">
        <v>53</v>
      </c>
      <c r="B223" s="48" t="s">
        <v>263</v>
      </c>
      <c r="C223" s="41" t="s">
        <v>677</v>
      </c>
      <c r="D223" s="41"/>
      <c r="E223" s="41"/>
      <c r="F223" s="41"/>
      <c r="G223" s="41"/>
      <c r="H223" s="10">
        <v>3.1</v>
      </c>
      <c r="I223" s="54">
        <f>VLOOKUP(A223,İstasyonlar!$A$2:$D$776,4,0)</f>
        <v>999999999</v>
      </c>
      <c r="J223">
        <f t="shared" si="7"/>
        <v>62</v>
      </c>
      <c r="K223" t="str">
        <f t="shared" si="6"/>
        <v>Sabit</v>
      </c>
    </row>
    <row r="224" spans="1:11" x14ac:dyDescent="0.3">
      <c r="A224" s="59" t="s">
        <v>53</v>
      </c>
      <c r="B224" s="48" t="s">
        <v>264</v>
      </c>
      <c r="C224" s="41" t="s">
        <v>677</v>
      </c>
      <c r="D224" s="41"/>
      <c r="E224" s="41"/>
      <c r="F224" s="41"/>
      <c r="G224" s="41"/>
      <c r="H224" s="10">
        <v>0.5</v>
      </c>
      <c r="I224" s="54">
        <f>VLOOKUP(A224,İstasyonlar!$A$2:$D$776,4,0)</f>
        <v>999999999</v>
      </c>
      <c r="J224">
        <f t="shared" si="7"/>
        <v>62</v>
      </c>
      <c r="K224" t="str">
        <f t="shared" si="6"/>
        <v>Sabit</v>
      </c>
    </row>
    <row r="225" spans="1:11" x14ac:dyDescent="0.3">
      <c r="A225" s="59" t="s">
        <v>54</v>
      </c>
      <c r="B225" s="48" t="s">
        <v>265</v>
      </c>
      <c r="C225" s="41" t="s">
        <v>668</v>
      </c>
      <c r="D225" s="41" t="s">
        <v>677</v>
      </c>
      <c r="E225" s="41"/>
      <c r="F225" s="41"/>
      <c r="G225" s="41"/>
      <c r="H225" s="10">
        <v>2.5</v>
      </c>
      <c r="I225" s="54">
        <f>VLOOKUP(A225,İstasyonlar!$A$2:$D$776,4,0)</f>
        <v>999999999</v>
      </c>
      <c r="J225">
        <f t="shared" si="7"/>
        <v>63</v>
      </c>
      <c r="K225" t="str">
        <f t="shared" si="6"/>
        <v>Sabit</v>
      </c>
    </row>
    <row r="226" spans="1:11" x14ac:dyDescent="0.3">
      <c r="A226" s="59" t="s">
        <v>54</v>
      </c>
      <c r="B226" s="48" t="s">
        <v>266</v>
      </c>
      <c r="C226" s="41" t="s">
        <v>668</v>
      </c>
      <c r="D226" s="41" t="s">
        <v>677</v>
      </c>
      <c r="E226" s="41"/>
      <c r="F226" s="41"/>
      <c r="G226" s="41"/>
      <c r="H226" s="10">
        <v>1.5</v>
      </c>
      <c r="I226" s="54">
        <f>VLOOKUP(A226,İstasyonlar!$A$2:$D$776,4,0)</f>
        <v>999999999</v>
      </c>
      <c r="J226">
        <f t="shared" si="7"/>
        <v>63</v>
      </c>
      <c r="K226" t="str">
        <f t="shared" si="6"/>
        <v>Sabit</v>
      </c>
    </row>
    <row r="227" spans="1:11" x14ac:dyDescent="0.3">
      <c r="A227" s="59" t="s">
        <v>54</v>
      </c>
      <c r="B227" s="48" t="s">
        <v>267</v>
      </c>
      <c r="C227" s="41" t="s">
        <v>668</v>
      </c>
      <c r="D227" s="41" t="s">
        <v>677</v>
      </c>
      <c r="E227" s="41"/>
      <c r="F227" s="41"/>
      <c r="G227" s="41"/>
      <c r="H227" s="10">
        <v>2.5</v>
      </c>
      <c r="I227" s="54">
        <f>VLOOKUP(A227,İstasyonlar!$A$2:$D$776,4,0)</f>
        <v>999999999</v>
      </c>
      <c r="J227">
        <f t="shared" si="7"/>
        <v>63</v>
      </c>
      <c r="K227" t="str">
        <f t="shared" si="6"/>
        <v>Sabit</v>
      </c>
    </row>
    <row r="228" spans="1:11" x14ac:dyDescent="0.3">
      <c r="A228" s="59" t="s">
        <v>54</v>
      </c>
      <c r="B228" s="48" t="s">
        <v>268</v>
      </c>
      <c r="C228" s="41" t="s">
        <v>668</v>
      </c>
      <c r="D228" s="41" t="s">
        <v>677</v>
      </c>
      <c r="E228" s="41"/>
      <c r="F228" s="41"/>
      <c r="G228" s="41"/>
      <c r="H228" s="10">
        <v>1</v>
      </c>
      <c r="I228" s="54">
        <f>VLOOKUP(A228,İstasyonlar!$A$2:$D$776,4,0)</f>
        <v>999999999</v>
      </c>
      <c r="J228">
        <f t="shared" si="7"/>
        <v>63</v>
      </c>
      <c r="K228" t="str">
        <f t="shared" si="6"/>
        <v>Sabit</v>
      </c>
    </row>
    <row r="229" spans="1:11" x14ac:dyDescent="0.3">
      <c r="A229" s="59" t="s">
        <v>55</v>
      </c>
      <c r="B229" s="48" t="s">
        <v>269</v>
      </c>
      <c r="C229" s="41" t="s">
        <v>678</v>
      </c>
      <c r="D229" s="41" t="s">
        <v>633</v>
      </c>
      <c r="E229" s="41"/>
      <c r="F229" s="41"/>
      <c r="G229" s="41"/>
      <c r="H229" s="10">
        <v>0.5</v>
      </c>
      <c r="I229" s="54">
        <f>VLOOKUP(A229,İstasyonlar!$A$2:$D$776,4,0)</f>
        <v>999999999</v>
      </c>
      <c r="J229">
        <f t="shared" si="7"/>
        <v>64</v>
      </c>
      <c r="K229" t="str">
        <f t="shared" si="6"/>
        <v>Sabit</v>
      </c>
    </row>
    <row r="230" spans="1:11" x14ac:dyDescent="0.3">
      <c r="A230" s="59" t="s">
        <v>55</v>
      </c>
      <c r="B230" s="48" t="s">
        <v>270</v>
      </c>
      <c r="C230" s="41" t="s">
        <v>678</v>
      </c>
      <c r="D230" s="41" t="s">
        <v>633</v>
      </c>
      <c r="E230" s="41"/>
      <c r="F230" s="41"/>
      <c r="G230" s="41"/>
      <c r="H230" s="10">
        <v>2.1</v>
      </c>
      <c r="I230" s="54">
        <f>VLOOKUP(A230,İstasyonlar!$A$2:$D$776,4,0)</f>
        <v>999999999</v>
      </c>
      <c r="J230">
        <f t="shared" si="7"/>
        <v>64</v>
      </c>
      <c r="K230" t="str">
        <f t="shared" si="6"/>
        <v>Sabit</v>
      </c>
    </row>
    <row r="231" spans="1:11" x14ac:dyDescent="0.3">
      <c r="A231" s="59" t="s">
        <v>55</v>
      </c>
      <c r="B231" s="48" t="s">
        <v>271</v>
      </c>
      <c r="C231" s="41" t="s">
        <v>678</v>
      </c>
      <c r="D231" s="41" t="s">
        <v>633</v>
      </c>
      <c r="E231" s="41"/>
      <c r="F231" s="41"/>
      <c r="G231" s="41"/>
      <c r="H231" s="10">
        <v>5.5</v>
      </c>
      <c r="I231" s="54">
        <f>VLOOKUP(A231,İstasyonlar!$A$2:$D$776,4,0)</f>
        <v>999999999</v>
      </c>
      <c r="J231">
        <f t="shared" si="7"/>
        <v>64</v>
      </c>
      <c r="K231" t="str">
        <f t="shared" si="6"/>
        <v>Sabit</v>
      </c>
    </row>
    <row r="232" spans="1:11" x14ac:dyDescent="0.3">
      <c r="A232" s="59" t="s">
        <v>55</v>
      </c>
      <c r="B232" s="48" t="s">
        <v>272</v>
      </c>
      <c r="C232" s="41" t="s">
        <v>678</v>
      </c>
      <c r="D232" s="41" t="s">
        <v>633</v>
      </c>
      <c r="E232" s="41"/>
      <c r="F232" s="41"/>
      <c r="G232" s="41"/>
      <c r="H232" s="10">
        <v>4</v>
      </c>
      <c r="I232" s="54">
        <f>VLOOKUP(A232,İstasyonlar!$A$2:$D$776,4,0)</f>
        <v>999999999</v>
      </c>
      <c r="J232">
        <f t="shared" si="7"/>
        <v>64</v>
      </c>
      <c r="K232" t="str">
        <f t="shared" si="6"/>
        <v>Sabit</v>
      </c>
    </row>
    <row r="233" spans="1:11" x14ac:dyDescent="0.3">
      <c r="A233" s="59" t="s">
        <v>55</v>
      </c>
      <c r="B233" s="48" t="s">
        <v>273</v>
      </c>
      <c r="C233" s="41" t="s">
        <v>678</v>
      </c>
      <c r="D233" s="41" t="s">
        <v>633</v>
      </c>
      <c r="E233" s="41"/>
      <c r="F233" s="41"/>
      <c r="G233" s="41"/>
      <c r="H233" s="10">
        <v>3</v>
      </c>
      <c r="I233" s="54">
        <f>VLOOKUP(A233,İstasyonlar!$A$2:$D$776,4,0)</f>
        <v>999999999</v>
      </c>
      <c r="J233">
        <f t="shared" si="7"/>
        <v>64</v>
      </c>
      <c r="K233" t="str">
        <f t="shared" si="6"/>
        <v>Sabit</v>
      </c>
    </row>
    <row r="234" spans="1:11" x14ac:dyDescent="0.3">
      <c r="A234" s="59" t="s">
        <v>55</v>
      </c>
      <c r="B234" s="48" t="s">
        <v>274</v>
      </c>
      <c r="C234" s="41" t="s">
        <v>678</v>
      </c>
      <c r="D234" s="41" t="s">
        <v>633</v>
      </c>
      <c r="E234" s="41"/>
      <c r="F234" s="41"/>
      <c r="G234" s="41"/>
      <c r="H234" s="10">
        <v>3.1</v>
      </c>
      <c r="I234" s="54">
        <f>VLOOKUP(A234,İstasyonlar!$A$2:$D$776,4,0)</f>
        <v>999999999</v>
      </c>
      <c r="J234">
        <f t="shared" si="7"/>
        <v>64</v>
      </c>
      <c r="K234" t="str">
        <f t="shared" si="6"/>
        <v>Sabit</v>
      </c>
    </row>
    <row r="235" spans="1:11" x14ac:dyDescent="0.3">
      <c r="A235" s="59" t="s">
        <v>55</v>
      </c>
      <c r="B235" s="48" t="s">
        <v>275</v>
      </c>
      <c r="C235" s="41" t="s">
        <v>678</v>
      </c>
      <c r="D235" s="41" t="s">
        <v>633</v>
      </c>
      <c r="E235" s="41"/>
      <c r="F235" s="41"/>
      <c r="G235" s="41"/>
      <c r="H235" s="10">
        <v>0.5</v>
      </c>
      <c r="I235" s="54">
        <f>VLOOKUP(A235,İstasyonlar!$A$2:$D$776,4,0)</f>
        <v>999999999</v>
      </c>
      <c r="J235">
        <f t="shared" si="7"/>
        <v>64</v>
      </c>
      <c r="K235" t="str">
        <f t="shared" si="6"/>
        <v>Sabit</v>
      </c>
    </row>
    <row r="236" spans="1:11" x14ac:dyDescent="0.3">
      <c r="A236" s="59" t="s">
        <v>55</v>
      </c>
      <c r="B236" s="48" t="s">
        <v>276</v>
      </c>
      <c r="C236" s="41" t="s">
        <v>678</v>
      </c>
      <c r="D236" s="41" t="s">
        <v>633</v>
      </c>
      <c r="E236" s="41"/>
      <c r="F236" s="41"/>
      <c r="G236" s="41"/>
      <c r="H236" s="10">
        <v>0.5</v>
      </c>
      <c r="I236" s="54">
        <f>VLOOKUP(A236,İstasyonlar!$A$2:$D$776,4,0)</f>
        <v>999999999</v>
      </c>
      <c r="J236">
        <f t="shared" si="7"/>
        <v>64</v>
      </c>
      <c r="K236" t="str">
        <f t="shared" si="6"/>
        <v>Sabit</v>
      </c>
    </row>
    <row r="237" spans="1:11" x14ac:dyDescent="0.3">
      <c r="A237" s="59" t="s">
        <v>56</v>
      </c>
      <c r="B237" s="48" t="s">
        <v>277</v>
      </c>
      <c r="C237" s="41" t="s">
        <v>679</v>
      </c>
      <c r="D237" s="41"/>
      <c r="E237" s="41"/>
      <c r="F237" s="41"/>
      <c r="G237" s="41"/>
      <c r="H237" s="10">
        <v>6.5</v>
      </c>
      <c r="I237" s="54">
        <f>VLOOKUP(A237,İstasyonlar!$A$2:$D$776,4,0)</f>
        <v>999999999</v>
      </c>
      <c r="J237">
        <f t="shared" si="7"/>
        <v>65</v>
      </c>
      <c r="K237" t="str">
        <f t="shared" si="6"/>
        <v>Sabit</v>
      </c>
    </row>
    <row r="238" spans="1:11" x14ac:dyDescent="0.3">
      <c r="A238" s="59" t="s">
        <v>56</v>
      </c>
      <c r="B238" s="48" t="s">
        <v>278</v>
      </c>
      <c r="C238" s="41" t="s">
        <v>679</v>
      </c>
      <c r="D238" s="41"/>
      <c r="E238" s="41"/>
      <c r="F238" s="41"/>
      <c r="G238" s="41"/>
      <c r="H238" s="10">
        <v>6.1</v>
      </c>
      <c r="I238" s="54">
        <f>VLOOKUP(A238,İstasyonlar!$A$2:$D$776,4,0)</f>
        <v>999999999</v>
      </c>
      <c r="J238">
        <f t="shared" si="7"/>
        <v>65</v>
      </c>
      <c r="K238" t="str">
        <f t="shared" si="6"/>
        <v>Sabit</v>
      </c>
    </row>
    <row r="239" spans="1:11" x14ac:dyDescent="0.3">
      <c r="A239" s="59" t="s">
        <v>56</v>
      </c>
      <c r="B239" s="48" t="s">
        <v>279</v>
      </c>
      <c r="C239" s="41" t="s">
        <v>679</v>
      </c>
      <c r="D239" s="41"/>
      <c r="E239" s="41"/>
      <c r="F239" s="41"/>
      <c r="G239" s="41"/>
      <c r="H239" s="10">
        <v>2.5</v>
      </c>
      <c r="I239" s="54">
        <f>VLOOKUP(A239,İstasyonlar!$A$2:$D$776,4,0)</f>
        <v>999999999</v>
      </c>
      <c r="J239">
        <f t="shared" si="7"/>
        <v>65</v>
      </c>
      <c r="K239" t="str">
        <f t="shared" si="6"/>
        <v>Sabit</v>
      </c>
    </row>
    <row r="240" spans="1:11" x14ac:dyDescent="0.3">
      <c r="A240" s="59" t="s">
        <v>383</v>
      </c>
      <c r="B240" s="48" t="s">
        <v>478</v>
      </c>
      <c r="C240" s="41" t="s">
        <v>729</v>
      </c>
      <c r="D240" s="41" t="s">
        <v>647</v>
      </c>
      <c r="E240" s="41"/>
      <c r="F240" s="41"/>
      <c r="G240" s="41"/>
      <c r="H240" s="10">
        <v>3.9</v>
      </c>
      <c r="I240" s="54">
        <f>VLOOKUP(A240,İstasyonlar!$A$2:$D$776,4,0)</f>
        <v>999999999</v>
      </c>
      <c r="J240">
        <f t="shared" si="7"/>
        <v>66</v>
      </c>
      <c r="K240" t="str">
        <f t="shared" si="6"/>
        <v>Sabit</v>
      </c>
    </row>
    <row r="241" spans="1:11" x14ac:dyDescent="0.3">
      <c r="A241" s="59" t="s">
        <v>383</v>
      </c>
      <c r="B241" s="48" t="s">
        <v>479</v>
      </c>
      <c r="C241" s="41" t="s">
        <v>729</v>
      </c>
      <c r="D241" s="41" t="s">
        <v>647</v>
      </c>
      <c r="E241" s="41"/>
      <c r="F241" s="41"/>
      <c r="G241" s="41"/>
      <c r="H241" s="10">
        <v>1.2</v>
      </c>
      <c r="I241" s="54">
        <f>VLOOKUP(A241,İstasyonlar!$A$2:$D$776,4,0)</f>
        <v>999999999</v>
      </c>
      <c r="J241">
        <f t="shared" si="7"/>
        <v>66</v>
      </c>
      <c r="K241" t="str">
        <f t="shared" si="6"/>
        <v>Sabit</v>
      </c>
    </row>
    <row r="242" spans="1:11" x14ac:dyDescent="0.3">
      <c r="A242" s="59" t="s">
        <v>383</v>
      </c>
      <c r="B242" s="48" t="s">
        <v>480</v>
      </c>
      <c r="C242" s="41" t="s">
        <v>729</v>
      </c>
      <c r="D242" s="41" t="s">
        <v>647</v>
      </c>
      <c r="E242" s="41"/>
      <c r="F242" s="41"/>
      <c r="G242" s="41"/>
      <c r="H242" s="10">
        <v>4.9000000000000004</v>
      </c>
      <c r="I242" s="54">
        <f>VLOOKUP(A242,İstasyonlar!$A$2:$D$776,4,0)</f>
        <v>999999999</v>
      </c>
      <c r="J242">
        <f t="shared" si="7"/>
        <v>66</v>
      </c>
      <c r="K242" t="str">
        <f t="shared" si="6"/>
        <v>Sabit</v>
      </c>
    </row>
    <row r="243" spans="1:11" x14ac:dyDescent="0.3">
      <c r="A243" s="59" t="s">
        <v>383</v>
      </c>
      <c r="B243" s="48" t="s">
        <v>481</v>
      </c>
      <c r="C243" s="41" t="s">
        <v>729</v>
      </c>
      <c r="D243" s="41" t="s">
        <v>647</v>
      </c>
      <c r="E243" s="41"/>
      <c r="F243" s="41"/>
      <c r="G243" s="41"/>
      <c r="H243" s="10">
        <v>2.8</v>
      </c>
      <c r="I243" s="54">
        <f>VLOOKUP(A243,İstasyonlar!$A$2:$D$776,4,0)</f>
        <v>999999999</v>
      </c>
      <c r="J243">
        <f t="shared" si="7"/>
        <v>66</v>
      </c>
      <c r="K243" t="str">
        <f t="shared" si="6"/>
        <v>Sabit</v>
      </c>
    </row>
    <row r="244" spans="1:11" x14ac:dyDescent="0.3">
      <c r="A244" s="59" t="s">
        <v>383</v>
      </c>
      <c r="B244" s="48" t="s">
        <v>483</v>
      </c>
      <c r="C244" s="41" t="s">
        <v>729</v>
      </c>
      <c r="D244" s="41" t="s">
        <v>647</v>
      </c>
      <c r="E244" s="41"/>
      <c r="F244" s="41"/>
      <c r="G244" s="41"/>
      <c r="H244" s="10">
        <v>1</v>
      </c>
      <c r="I244" s="54">
        <f>VLOOKUP(A244,İstasyonlar!$A$2:$D$776,4,0)</f>
        <v>999999999</v>
      </c>
      <c r="J244">
        <f t="shared" si="7"/>
        <v>66</v>
      </c>
      <c r="K244" t="str">
        <f t="shared" si="6"/>
        <v>Sabit</v>
      </c>
    </row>
    <row r="245" spans="1:11" ht="15.6" x14ac:dyDescent="0.3">
      <c r="A245" s="59" t="s">
        <v>432</v>
      </c>
      <c r="B245" s="47" t="s">
        <v>499</v>
      </c>
      <c r="C245" s="41" t="s">
        <v>688</v>
      </c>
      <c r="D245" s="41" t="s">
        <v>615</v>
      </c>
      <c r="E245" s="41" t="s">
        <v>689</v>
      </c>
      <c r="F245" s="41"/>
      <c r="G245" s="41"/>
      <c r="H245" s="12">
        <v>5.4</v>
      </c>
      <c r="I245" s="54">
        <f>VLOOKUP(A245,İstasyonlar!$A$2:$D$776,4,0)</f>
        <v>999999999</v>
      </c>
      <c r="J245">
        <f t="shared" si="7"/>
        <v>67</v>
      </c>
      <c r="K245" t="str">
        <f t="shared" si="6"/>
        <v>Sabit</v>
      </c>
    </row>
    <row r="246" spans="1:11" ht="15.6" x14ac:dyDescent="0.3">
      <c r="A246" s="59" t="s">
        <v>432</v>
      </c>
      <c r="B246" s="47" t="s">
        <v>500</v>
      </c>
      <c r="C246" s="41" t="s">
        <v>688</v>
      </c>
      <c r="D246" s="41" t="s">
        <v>615</v>
      </c>
      <c r="E246" s="41" t="s">
        <v>689</v>
      </c>
      <c r="F246" s="41"/>
      <c r="G246" s="41"/>
      <c r="H246" s="12">
        <v>2</v>
      </c>
      <c r="I246" s="54">
        <f>VLOOKUP(A246,İstasyonlar!$A$2:$D$776,4,0)</f>
        <v>999999999</v>
      </c>
      <c r="J246">
        <f t="shared" si="7"/>
        <v>67</v>
      </c>
      <c r="K246" t="str">
        <f t="shared" si="6"/>
        <v>Sabit</v>
      </c>
    </row>
    <row r="247" spans="1:11" ht="15.6" x14ac:dyDescent="0.3">
      <c r="A247" s="59" t="s">
        <v>432</v>
      </c>
      <c r="B247" s="47" t="s">
        <v>501</v>
      </c>
      <c r="C247" s="41" t="s">
        <v>688</v>
      </c>
      <c r="D247" s="41" t="s">
        <v>615</v>
      </c>
      <c r="E247" s="41" t="s">
        <v>689</v>
      </c>
      <c r="F247" s="41"/>
      <c r="G247" s="41"/>
      <c r="H247" s="12">
        <v>9.5</v>
      </c>
      <c r="I247" s="54">
        <f>VLOOKUP(A247,İstasyonlar!$A$2:$D$776,4,0)</f>
        <v>999999999</v>
      </c>
      <c r="J247">
        <f t="shared" si="7"/>
        <v>67</v>
      </c>
      <c r="K247" t="str">
        <f t="shared" si="6"/>
        <v>Sabit</v>
      </c>
    </row>
    <row r="248" spans="1:11" ht="15.6" x14ac:dyDescent="0.3">
      <c r="A248" s="59" t="s">
        <v>435</v>
      </c>
      <c r="B248" s="47" t="s">
        <v>512</v>
      </c>
      <c r="C248" s="41" t="s">
        <v>693</v>
      </c>
      <c r="D248" s="41" t="s">
        <v>694</v>
      </c>
      <c r="E248" s="41"/>
      <c r="F248" s="41" t="s">
        <v>615</v>
      </c>
      <c r="G248" s="41" t="s">
        <v>614</v>
      </c>
      <c r="H248" s="12">
        <v>2.5</v>
      </c>
      <c r="I248" s="54">
        <f>VLOOKUP(A248,İstasyonlar!$A$2:$D$776,4,0)</f>
        <v>999999999</v>
      </c>
      <c r="J248">
        <f t="shared" si="7"/>
        <v>68</v>
      </c>
      <c r="K248" t="str">
        <f t="shared" si="6"/>
        <v>Sabit</v>
      </c>
    </row>
    <row r="249" spans="1:11" ht="15.6" x14ac:dyDescent="0.3">
      <c r="A249" s="59" t="s">
        <v>435</v>
      </c>
      <c r="B249" s="47" t="s">
        <v>513</v>
      </c>
      <c r="C249" s="41" t="s">
        <v>693</v>
      </c>
      <c r="D249" s="41" t="s">
        <v>694</v>
      </c>
      <c r="E249" s="41"/>
      <c r="F249" s="41" t="s">
        <v>615</v>
      </c>
      <c r="G249" s="41" t="s">
        <v>614</v>
      </c>
      <c r="H249" s="12">
        <v>3.2</v>
      </c>
      <c r="I249" s="54">
        <f>VLOOKUP(A249,İstasyonlar!$A$2:$D$776,4,0)</f>
        <v>999999999</v>
      </c>
      <c r="J249">
        <f t="shared" si="7"/>
        <v>68</v>
      </c>
      <c r="K249" t="str">
        <f t="shared" si="6"/>
        <v>Sabit</v>
      </c>
    </row>
    <row r="250" spans="1:11" ht="15.6" x14ac:dyDescent="0.3">
      <c r="A250" s="59" t="s">
        <v>435</v>
      </c>
      <c r="B250" s="47" t="s">
        <v>514</v>
      </c>
      <c r="C250" s="41" t="s">
        <v>693</v>
      </c>
      <c r="D250" s="41" t="s">
        <v>694</v>
      </c>
      <c r="E250" s="41"/>
      <c r="F250" s="41" t="s">
        <v>615</v>
      </c>
      <c r="G250" s="41" t="s">
        <v>614</v>
      </c>
      <c r="H250" s="12">
        <v>3.2</v>
      </c>
      <c r="I250" s="54">
        <f>VLOOKUP(A250,İstasyonlar!$A$2:$D$776,4,0)</f>
        <v>999999999</v>
      </c>
      <c r="J250">
        <f t="shared" si="7"/>
        <v>68</v>
      </c>
      <c r="K250" t="str">
        <f t="shared" si="6"/>
        <v>Sabit</v>
      </c>
    </row>
    <row r="251" spans="1:11" ht="15.6" x14ac:dyDescent="0.3">
      <c r="A251" s="59" t="s">
        <v>435</v>
      </c>
      <c r="B251" s="47" t="s">
        <v>515</v>
      </c>
      <c r="C251" s="41" t="s">
        <v>693</v>
      </c>
      <c r="D251" s="41" t="s">
        <v>694</v>
      </c>
      <c r="E251" s="41"/>
      <c r="F251" s="41" t="s">
        <v>615</v>
      </c>
      <c r="G251" s="41" t="s">
        <v>614</v>
      </c>
      <c r="H251" s="12">
        <v>3.2</v>
      </c>
      <c r="I251" s="54">
        <f>VLOOKUP(A251,İstasyonlar!$A$2:$D$776,4,0)</f>
        <v>999999999</v>
      </c>
      <c r="J251">
        <f t="shared" si="7"/>
        <v>68</v>
      </c>
      <c r="K251" t="str">
        <f t="shared" si="6"/>
        <v>Sabit</v>
      </c>
    </row>
    <row r="252" spans="1:11" ht="15.6" x14ac:dyDescent="0.3">
      <c r="A252" s="59" t="s">
        <v>435</v>
      </c>
      <c r="B252" s="47" t="s">
        <v>516</v>
      </c>
      <c r="C252" s="41" t="s">
        <v>693</v>
      </c>
      <c r="D252" s="41" t="s">
        <v>694</v>
      </c>
      <c r="E252" s="41"/>
      <c r="F252" s="41" t="s">
        <v>615</v>
      </c>
      <c r="G252" s="41" t="s">
        <v>614</v>
      </c>
      <c r="H252" s="12">
        <v>3.2</v>
      </c>
      <c r="I252" s="54">
        <f>VLOOKUP(A252,İstasyonlar!$A$2:$D$776,4,0)</f>
        <v>999999999</v>
      </c>
      <c r="J252">
        <f t="shared" si="7"/>
        <v>68</v>
      </c>
      <c r="K252" t="str">
        <f t="shared" si="6"/>
        <v>Sabit</v>
      </c>
    </row>
    <row r="253" spans="1:11" ht="15.6" x14ac:dyDescent="0.3">
      <c r="A253" s="59" t="s">
        <v>435</v>
      </c>
      <c r="B253" s="47" t="s">
        <v>517</v>
      </c>
      <c r="C253" s="41" t="s">
        <v>693</v>
      </c>
      <c r="D253" s="41" t="s">
        <v>694</v>
      </c>
      <c r="E253" s="41"/>
      <c r="F253" s="41" t="s">
        <v>615</v>
      </c>
      <c r="G253" s="41" t="s">
        <v>614</v>
      </c>
      <c r="H253" s="12">
        <v>3.8</v>
      </c>
      <c r="I253" s="54">
        <f>VLOOKUP(A253,İstasyonlar!$A$2:$D$776,4,0)</f>
        <v>999999999</v>
      </c>
      <c r="J253">
        <f t="shared" si="7"/>
        <v>68</v>
      </c>
      <c r="K253" t="str">
        <f t="shared" si="6"/>
        <v>Sabit</v>
      </c>
    </row>
    <row r="254" spans="1:11" ht="15.6" x14ac:dyDescent="0.3">
      <c r="A254" s="58" t="s">
        <v>560</v>
      </c>
      <c r="B254" s="47" t="s">
        <v>561</v>
      </c>
      <c r="C254" s="41" t="s">
        <v>702</v>
      </c>
      <c r="D254" s="41" t="s">
        <v>703</v>
      </c>
      <c r="E254" s="41"/>
      <c r="F254" s="41"/>
      <c r="G254" s="41"/>
      <c r="H254" s="12">
        <v>5.4</v>
      </c>
      <c r="I254" s="54">
        <f>VLOOKUP(A254,İstasyonlar!$A$2:$D$776,4,0)</f>
        <v>999999999</v>
      </c>
      <c r="J254">
        <f t="shared" si="7"/>
        <v>69</v>
      </c>
      <c r="K254" t="str">
        <f t="shared" si="6"/>
        <v>Sabit</v>
      </c>
    </row>
    <row r="255" spans="1:11" ht="15.6" x14ac:dyDescent="0.3">
      <c r="A255" s="58" t="s">
        <v>560</v>
      </c>
      <c r="B255" s="47" t="s">
        <v>562</v>
      </c>
      <c r="C255" s="41" t="s">
        <v>702</v>
      </c>
      <c r="D255" s="41" t="s">
        <v>703</v>
      </c>
      <c r="E255" s="41"/>
      <c r="F255" s="41"/>
      <c r="G255" s="41"/>
      <c r="H255" s="12">
        <v>2.8</v>
      </c>
      <c r="I255" s="54">
        <f>VLOOKUP(A255,İstasyonlar!$A$2:$D$776,4,0)</f>
        <v>999999999</v>
      </c>
      <c r="J255">
        <f t="shared" si="7"/>
        <v>69</v>
      </c>
      <c r="K255" t="str">
        <f t="shared" si="6"/>
        <v>Sabit</v>
      </c>
    </row>
    <row r="256" spans="1:11" ht="15.6" x14ac:dyDescent="0.3">
      <c r="A256" s="58" t="s">
        <v>560</v>
      </c>
      <c r="B256" s="47" t="s">
        <v>563</v>
      </c>
      <c r="C256" s="41" t="s">
        <v>702</v>
      </c>
      <c r="D256" s="41" t="s">
        <v>703</v>
      </c>
      <c r="E256" s="41"/>
      <c r="F256" s="41"/>
      <c r="G256" s="41"/>
      <c r="H256" s="12">
        <v>2.8</v>
      </c>
      <c r="I256" s="54">
        <f>VLOOKUP(A256,İstasyonlar!$A$2:$D$776,4,0)</f>
        <v>999999999</v>
      </c>
      <c r="J256">
        <f t="shared" si="7"/>
        <v>69</v>
      </c>
      <c r="K256" t="str">
        <f t="shared" si="6"/>
        <v>Sabit</v>
      </c>
    </row>
    <row r="257" spans="1:11" ht="15.6" x14ac:dyDescent="0.3">
      <c r="A257" s="58" t="s">
        <v>564</v>
      </c>
      <c r="B257" s="47" t="s">
        <v>565</v>
      </c>
      <c r="C257" s="41" t="s">
        <v>703</v>
      </c>
      <c r="D257" s="41" t="s">
        <v>702</v>
      </c>
      <c r="E257" s="41" t="s">
        <v>707</v>
      </c>
      <c r="F257" s="41"/>
      <c r="G257" s="41"/>
      <c r="H257" s="12">
        <v>3.2</v>
      </c>
      <c r="I257" s="54">
        <f>VLOOKUP(A257,İstasyonlar!$A$2:$D$776,4,0)</f>
        <v>999999999</v>
      </c>
      <c r="J257">
        <f t="shared" si="7"/>
        <v>70</v>
      </c>
      <c r="K257" t="str">
        <f t="shared" si="6"/>
        <v>Sabit</v>
      </c>
    </row>
    <row r="258" spans="1:11" ht="15.6" x14ac:dyDescent="0.3">
      <c r="A258" s="58" t="s">
        <v>564</v>
      </c>
      <c r="B258" s="47" t="s">
        <v>566</v>
      </c>
      <c r="C258" s="41" t="s">
        <v>703</v>
      </c>
      <c r="D258" s="41" t="s">
        <v>702</v>
      </c>
      <c r="E258" s="41" t="s">
        <v>707</v>
      </c>
      <c r="F258" s="41"/>
      <c r="G258" s="41"/>
      <c r="H258" s="12">
        <v>3.2</v>
      </c>
      <c r="I258" s="54">
        <f>VLOOKUP(A258,İstasyonlar!$A$2:$D$776,4,0)</f>
        <v>999999999</v>
      </c>
      <c r="J258">
        <f t="shared" si="7"/>
        <v>70</v>
      </c>
      <c r="K258" t="str">
        <f t="shared" ref="K258:K265" si="8">IF(I258=1000000,"","Sabit")</f>
        <v>Sabit</v>
      </c>
    </row>
    <row r="259" spans="1:11" ht="15.6" x14ac:dyDescent="0.3">
      <c r="A259" s="58" t="s">
        <v>564</v>
      </c>
      <c r="B259" s="47" t="s">
        <v>567</v>
      </c>
      <c r="C259" s="41" t="s">
        <v>703</v>
      </c>
      <c r="D259" s="41" t="s">
        <v>702</v>
      </c>
      <c r="E259" s="41" t="s">
        <v>707</v>
      </c>
      <c r="F259" s="41"/>
      <c r="G259" s="41"/>
      <c r="H259" s="12">
        <v>3.2</v>
      </c>
      <c r="I259" s="54">
        <f>VLOOKUP(A259,İstasyonlar!$A$2:$D$776,4,0)</f>
        <v>999999999</v>
      </c>
      <c r="J259">
        <f t="shared" ref="J259:J265" si="9">IF(A259=A258, J258, J258+1)</f>
        <v>70</v>
      </c>
      <c r="K259" t="str">
        <f t="shared" si="8"/>
        <v>Sabit</v>
      </c>
    </row>
    <row r="260" spans="1:11" ht="15.6" x14ac:dyDescent="0.3">
      <c r="A260" s="58" t="s">
        <v>568</v>
      </c>
      <c r="B260" s="47" t="s">
        <v>569</v>
      </c>
      <c r="C260" s="41" t="s">
        <v>707</v>
      </c>
      <c r="D260" s="41"/>
      <c r="E260" s="41" t="s">
        <v>702</v>
      </c>
      <c r="F260" s="41"/>
      <c r="G260" s="41"/>
      <c r="H260" s="12">
        <v>5.8</v>
      </c>
      <c r="I260" s="54">
        <f>VLOOKUP(A260,İstasyonlar!$A$2:$D$776,4,0)</f>
        <v>999999999</v>
      </c>
      <c r="J260">
        <f t="shared" si="9"/>
        <v>71</v>
      </c>
      <c r="K260" t="str">
        <f t="shared" si="8"/>
        <v>Sabit</v>
      </c>
    </row>
    <row r="261" spans="1:11" ht="15.6" x14ac:dyDescent="0.3">
      <c r="A261" s="58" t="s">
        <v>568</v>
      </c>
      <c r="B261" s="47" t="s">
        <v>570</v>
      </c>
      <c r="C261" s="41" t="s">
        <v>707</v>
      </c>
      <c r="D261" s="41"/>
      <c r="E261" s="41" t="s">
        <v>702</v>
      </c>
      <c r="F261" s="41"/>
      <c r="G261" s="41"/>
      <c r="H261" s="12">
        <v>2.4</v>
      </c>
      <c r="I261" s="54">
        <f>VLOOKUP(A261,İstasyonlar!$A$2:$D$776,4,0)</f>
        <v>999999999</v>
      </c>
      <c r="J261">
        <f t="shared" si="9"/>
        <v>71</v>
      </c>
      <c r="K261" t="str">
        <f t="shared" si="8"/>
        <v>Sabit</v>
      </c>
    </row>
    <row r="262" spans="1:11" ht="15.6" x14ac:dyDescent="0.3">
      <c r="A262" s="58" t="s">
        <v>568</v>
      </c>
      <c r="B262" s="47" t="s">
        <v>571</v>
      </c>
      <c r="C262" s="41" t="s">
        <v>707</v>
      </c>
      <c r="D262" s="41"/>
      <c r="E262" s="41" t="s">
        <v>702</v>
      </c>
      <c r="F262" s="41"/>
      <c r="G262" s="41"/>
      <c r="H262" s="12">
        <v>2.4</v>
      </c>
      <c r="I262" s="54">
        <f>VLOOKUP(A262,İstasyonlar!$A$2:$D$776,4,0)</f>
        <v>999999999</v>
      </c>
      <c r="J262">
        <f t="shared" si="9"/>
        <v>71</v>
      </c>
      <c r="K262" t="str">
        <f t="shared" si="8"/>
        <v>Sabit</v>
      </c>
    </row>
    <row r="263" spans="1:11" ht="15.6" x14ac:dyDescent="0.3">
      <c r="A263" s="58" t="s">
        <v>568</v>
      </c>
      <c r="B263" s="47" t="s">
        <v>572</v>
      </c>
      <c r="C263" s="41" t="s">
        <v>707</v>
      </c>
      <c r="D263" s="41"/>
      <c r="E263" s="41" t="s">
        <v>702</v>
      </c>
      <c r="F263" s="41"/>
      <c r="G263" s="41"/>
      <c r="H263" s="12">
        <v>2.4</v>
      </c>
      <c r="I263" s="54">
        <f>VLOOKUP(A263,İstasyonlar!$A$2:$D$776,4,0)</f>
        <v>999999999</v>
      </c>
      <c r="J263">
        <f t="shared" si="9"/>
        <v>71</v>
      </c>
      <c r="K263" t="str">
        <f t="shared" si="8"/>
        <v>Sabit</v>
      </c>
    </row>
    <row r="264" spans="1:11" ht="15.6" x14ac:dyDescent="0.3">
      <c r="A264" s="58" t="s">
        <v>578</v>
      </c>
      <c r="B264" s="47" t="s">
        <v>579</v>
      </c>
      <c r="C264" s="41" t="s">
        <v>715</v>
      </c>
      <c r="D264" s="41" t="s">
        <v>716</v>
      </c>
      <c r="E264" s="41"/>
      <c r="F264" s="41"/>
      <c r="G264" s="41"/>
      <c r="H264" s="12">
        <v>8.5</v>
      </c>
      <c r="I264" s="54">
        <f>VLOOKUP(A264,İstasyonlar!$A$2:$D$776,4,0)</f>
        <v>999999999</v>
      </c>
      <c r="J264">
        <f t="shared" si="9"/>
        <v>72</v>
      </c>
      <c r="K264" t="str">
        <f t="shared" si="8"/>
        <v>Sabit</v>
      </c>
    </row>
    <row r="265" spans="1:11" ht="15.6" x14ac:dyDescent="0.3">
      <c r="A265" s="58" t="s">
        <v>580</v>
      </c>
      <c r="B265" s="47" t="s">
        <v>581</v>
      </c>
      <c r="C265" s="41" t="s">
        <v>716</v>
      </c>
      <c r="D265" s="41" t="s">
        <v>715</v>
      </c>
      <c r="E265" s="41" t="s">
        <v>718</v>
      </c>
      <c r="F265" s="41"/>
      <c r="G265" s="41"/>
      <c r="H265" s="12">
        <v>8.5</v>
      </c>
      <c r="I265" s="54">
        <f>VLOOKUP(A265,İstasyonlar!$A$2:$D$776,4,0)</f>
        <v>999999999</v>
      </c>
      <c r="J265">
        <f t="shared" si="9"/>
        <v>73</v>
      </c>
      <c r="K265" t="str">
        <f t="shared" si="8"/>
        <v>Sabit</v>
      </c>
    </row>
    <row r="266" spans="1:11" x14ac:dyDescent="0.3">
      <c r="A266" s="63"/>
      <c r="B266" s="63"/>
      <c r="C266" s="63"/>
      <c r="D266" s="63"/>
      <c r="E266" s="63"/>
      <c r="F266" s="63"/>
      <c r="G266" s="63"/>
      <c r="H266" s="54"/>
    </row>
    <row r="267" spans="1:11" x14ac:dyDescent="0.3">
      <c r="A267"/>
      <c r="B267"/>
      <c r="C267"/>
      <c r="D267"/>
      <c r="E267"/>
      <c r="F267"/>
      <c r="G267"/>
    </row>
    <row r="268" spans="1:11" x14ac:dyDescent="0.3">
      <c r="A268"/>
      <c r="B268"/>
      <c r="C268"/>
      <c r="D268"/>
      <c r="E268"/>
      <c r="F268"/>
      <c r="G268"/>
    </row>
    <row r="269" spans="1:11" x14ac:dyDescent="0.3">
      <c r="A269"/>
      <c r="B269"/>
      <c r="C269"/>
      <c r="D269"/>
      <c r="E269"/>
      <c r="F269"/>
      <c r="G269"/>
    </row>
    <row r="270" spans="1:11" x14ac:dyDescent="0.3">
      <c r="A270"/>
      <c r="B270"/>
      <c r="C270"/>
      <c r="D270"/>
      <c r="E270"/>
      <c r="F270"/>
      <c r="G270"/>
    </row>
    <row r="271" spans="1:11" x14ac:dyDescent="0.3">
      <c r="A271"/>
      <c r="B271"/>
      <c r="C271"/>
      <c r="D271"/>
      <c r="E271"/>
      <c r="F271"/>
      <c r="G271"/>
    </row>
    <row r="272" spans="1:11" x14ac:dyDescent="0.3">
      <c r="A272"/>
      <c r="B272"/>
      <c r="C272"/>
      <c r="D272"/>
      <c r="E272"/>
      <c r="F272"/>
      <c r="G272"/>
    </row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</sheetData>
  <autoFilter ref="A1:J282" xr:uid="{F29C6556-3048-40A6-B027-15646A02A5CC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E4603-0049-4D04-B317-48A8F8E80A07}">
  <dimension ref="A1:K284"/>
  <sheetViews>
    <sheetView topLeftCell="A99" zoomScale="70" zoomScaleNormal="70" workbookViewId="0">
      <selection activeCell="I2" sqref="I2"/>
    </sheetView>
  </sheetViews>
  <sheetFormatPr defaultRowHeight="14.4" x14ac:dyDescent="0.3"/>
  <cols>
    <col min="1" max="2" width="27.21875" style="1" customWidth="1"/>
    <col min="3" max="7" width="15.21875" style="1" customWidth="1"/>
    <col min="9" max="9" width="11.109375" bestFit="1" customWidth="1"/>
  </cols>
  <sheetData>
    <row r="1" spans="1:11" ht="42.75" customHeight="1" x14ac:dyDescent="0.3">
      <c r="A1" s="55" t="s">
        <v>59</v>
      </c>
      <c r="B1" s="55" t="s">
        <v>60</v>
      </c>
      <c r="C1" s="46" t="s">
        <v>312</v>
      </c>
      <c r="D1" s="46" t="s">
        <v>280</v>
      </c>
      <c r="E1" s="46" t="s">
        <v>281</v>
      </c>
      <c r="F1" s="46" t="s">
        <v>282</v>
      </c>
      <c r="G1" s="46" t="s">
        <v>283</v>
      </c>
      <c r="H1" s="45" t="s">
        <v>61</v>
      </c>
      <c r="I1" s="46" t="s">
        <v>731</v>
      </c>
      <c r="J1" s="46" t="s">
        <v>462</v>
      </c>
    </row>
    <row r="2" spans="1:11" x14ac:dyDescent="0.3">
      <c r="A2" s="9" t="s">
        <v>0</v>
      </c>
      <c r="B2" s="47" t="s">
        <v>62</v>
      </c>
      <c r="C2" s="8" t="s">
        <v>594</v>
      </c>
      <c r="D2" s="8" t="s">
        <v>595</v>
      </c>
      <c r="E2" s="8" t="s">
        <v>596</v>
      </c>
      <c r="F2" s="8"/>
      <c r="G2" s="8"/>
      <c r="H2" s="10">
        <v>6.1</v>
      </c>
      <c r="I2" s="54">
        <f>VLOOKUP(A2,İstasyonlar!$A$2:$D$776,4,0)</f>
        <v>1000000</v>
      </c>
      <c r="J2" s="54">
        <v>1</v>
      </c>
      <c r="K2" t="str">
        <f t="shared" ref="K2:K65" si="0">IF(I2=1000000,"","Sabit")</f>
        <v/>
      </c>
    </row>
    <row r="3" spans="1:11" x14ac:dyDescent="0.3">
      <c r="A3" s="9" t="s">
        <v>0</v>
      </c>
      <c r="B3" s="47" t="s">
        <v>63</v>
      </c>
      <c r="C3" s="8" t="s">
        <v>594</v>
      </c>
      <c r="D3" s="8" t="s">
        <v>595</v>
      </c>
      <c r="E3" s="8" t="s">
        <v>596</v>
      </c>
      <c r="F3" s="8"/>
      <c r="G3" s="8"/>
      <c r="H3" s="10">
        <v>6.1</v>
      </c>
      <c r="I3" s="54">
        <f>VLOOKUP(A3,İstasyonlar!$A$2:$D$776,4,0)</f>
        <v>1000000</v>
      </c>
      <c r="J3" s="54">
        <f t="shared" ref="J3:J66" si="1">IF(A3=A2, J2, J2+1)</f>
        <v>1</v>
      </c>
      <c r="K3" t="str">
        <f t="shared" si="0"/>
        <v/>
      </c>
    </row>
    <row r="4" spans="1:11" x14ac:dyDescent="0.3">
      <c r="A4" s="9" t="s">
        <v>1</v>
      </c>
      <c r="B4" s="47" t="s">
        <v>64</v>
      </c>
      <c r="C4" s="8" t="s">
        <v>596</v>
      </c>
      <c r="D4" s="8" t="s">
        <v>598</v>
      </c>
      <c r="E4" s="8" t="s">
        <v>594</v>
      </c>
      <c r="F4" s="8"/>
      <c r="G4" s="8"/>
      <c r="H4" s="10">
        <v>5.8</v>
      </c>
      <c r="I4" s="54">
        <f>VLOOKUP(A4,İstasyonlar!$A$2:$D$776,4,0)</f>
        <v>999999999</v>
      </c>
      <c r="J4" s="54">
        <f t="shared" si="1"/>
        <v>2</v>
      </c>
      <c r="K4" t="str">
        <f t="shared" si="0"/>
        <v>Sabit</v>
      </c>
    </row>
    <row r="5" spans="1:11" x14ac:dyDescent="0.3">
      <c r="A5" s="9" t="s">
        <v>1</v>
      </c>
      <c r="B5" s="47" t="s">
        <v>65</v>
      </c>
      <c r="C5" s="8" t="s">
        <v>596</v>
      </c>
      <c r="D5" s="8" t="s">
        <v>598</v>
      </c>
      <c r="E5" s="8" t="s">
        <v>594</v>
      </c>
      <c r="F5" s="8"/>
      <c r="G5" s="8"/>
      <c r="H5" s="10">
        <v>6.4</v>
      </c>
      <c r="I5" s="54">
        <f>VLOOKUP(A5,İstasyonlar!$A$2:$D$776,4,0)</f>
        <v>999999999</v>
      </c>
      <c r="J5" s="54">
        <f t="shared" si="1"/>
        <v>2</v>
      </c>
      <c r="K5" t="str">
        <f t="shared" si="0"/>
        <v>Sabit</v>
      </c>
    </row>
    <row r="6" spans="1:11" x14ac:dyDescent="0.3">
      <c r="A6" s="9" t="s">
        <v>2</v>
      </c>
      <c r="B6" s="47" t="s">
        <v>287</v>
      </c>
      <c r="C6" s="8" t="s">
        <v>598</v>
      </c>
      <c r="D6" s="8" t="s">
        <v>596</v>
      </c>
      <c r="E6" s="8"/>
      <c r="F6" s="8"/>
      <c r="G6" s="8"/>
      <c r="H6" s="10">
        <v>6.4</v>
      </c>
      <c r="I6" s="54">
        <f>VLOOKUP(A6,İstasyonlar!$A$2:$D$776,4,0)</f>
        <v>999999999</v>
      </c>
      <c r="J6" s="54">
        <f t="shared" si="1"/>
        <v>3</v>
      </c>
      <c r="K6" t="str">
        <f t="shared" si="0"/>
        <v>Sabit</v>
      </c>
    </row>
    <row r="7" spans="1:11" x14ac:dyDescent="0.3">
      <c r="A7" s="9" t="s">
        <v>2</v>
      </c>
      <c r="B7" s="47" t="s">
        <v>288</v>
      </c>
      <c r="C7" s="8" t="s">
        <v>598</v>
      </c>
      <c r="D7" s="8" t="s">
        <v>596</v>
      </c>
      <c r="E7" s="8"/>
      <c r="F7" s="8"/>
      <c r="G7" s="8"/>
      <c r="H7" s="10">
        <v>1</v>
      </c>
      <c r="I7" s="54">
        <f>VLOOKUP(A7,İstasyonlar!$A$2:$D$776,4,0)</f>
        <v>999999999</v>
      </c>
      <c r="J7" s="54">
        <f t="shared" si="1"/>
        <v>3</v>
      </c>
      <c r="K7" t="str">
        <f t="shared" si="0"/>
        <v>Sabit</v>
      </c>
    </row>
    <row r="8" spans="1:11" x14ac:dyDescent="0.3">
      <c r="A8" s="9" t="s">
        <v>3</v>
      </c>
      <c r="B8" s="47" t="s">
        <v>66</v>
      </c>
      <c r="C8" s="8" t="s">
        <v>599</v>
      </c>
      <c r="D8" s="8" t="s">
        <v>600</v>
      </c>
      <c r="E8" s="8"/>
      <c r="F8" s="8"/>
      <c r="G8" s="8"/>
      <c r="H8" s="10">
        <v>9.5</v>
      </c>
      <c r="I8" s="54">
        <f>VLOOKUP(A8,İstasyonlar!$A$2:$D$776,4,0)</f>
        <v>1000000</v>
      </c>
      <c r="J8" s="54">
        <f t="shared" si="1"/>
        <v>4</v>
      </c>
      <c r="K8" t="str">
        <f t="shared" si="0"/>
        <v/>
      </c>
    </row>
    <row r="9" spans="1:11" x14ac:dyDescent="0.3">
      <c r="A9" s="9" t="s">
        <v>3</v>
      </c>
      <c r="B9" s="47" t="s">
        <v>67</v>
      </c>
      <c r="C9" s="8" t="s">
        <v>599</v>
      </c>
      <c r="D9" s="8" t="s">
        <v>600</v>
      </c>
      <c r="E9" s="8"/>
      <c r="F9" s="8"/>
      <c r="G9" s="8"/>
      <c r="H9" s="10">
        <v>3.1</v>
      </c>
      <c r="I9" s="54">
        <f>VLOOKUP(A9,İstasyonlar!$A$2:$D$776,4,0)</f>
        <v>1000000</v>
      </c>
      <c r="J9" s="54">
        <f t="shared" si="1"/>
        <v>4</v>
      </c>
      <c r="K9" t="str">
        <f t="shared" si="0"/>
        <v/>
      </c>
    </row>
    <row r="10" spans="1:11" x14ac:dyDescent="0.3">
      <c r="A10" s="9" t="s">
        <v>5</v>
      </c>
      <c r="B10" s="47" t="s">
        <v>68</v>
      </c>
      <c r="C10" s="8" t="s">
        <v>601</v>
      </c>
      <c r="D10" s="8" t="s">
        <v>602</v>
      </c>
      <c r="E10" s="8" t="s">
        <v>595</v>
      </c>
      <c r="F10" s="8"/>
      <c r="G10" s="8"/>
      <c r="H10" s="10">
        <v>6.5</v>
      </c>
      <c r="I10" s="54">
        <f>VLOOKUP(A10,İstasyonlar!$A$2:$D$776,4,0)</f>
        <v>1000000</v>
      </c>
      <c r="J10" s="54">
        <f t="shared" si="1"/>
        <v>5</v>
      </c>
      <c r="K10" t="str">
        <f t="shared" si="0"/>
        <v/>
      </c>
    </row>
    <row r="11" spans="1:11" x14ac:dyDescent="0.3">
      <c r="A11" s="9" t="s">
        <v>5</v>
      </c>
      <c r="B11" s="47" t="s">
        <v>69</v>
      </c>
      <c r="C11" s="8" t="s">
        <v>601</v>
      </c>
      <c r="D11" s="8" t="s">
        <v>602</v>
      </c>
      <c r="E11" s="8" t="s">
        <v>595</v>
      </c>
      <c r="F11" s="8"/>
      <c r="G11" s="8"/>
      <c r="H11" s="10">
        <v>3.1</v>
      </c>
      <c r="I11" s="54">
        <f>VLOOKUP(A11,İstasyonlar!$A$2:$D$776,4,0)</f>
        <v>1000000</v>
      </c>
      <c r="J11" s="54">
        <f t="shared" si="1"/>
        <v>5</v>
      </c>
      <c r="K11" t="str">
        <f t="shared" si="0"/>
        <v/>
      </c>
    </row>
    <row r="12" spans="1:11" x14ac:dyDescent="0.3">
      <c r="A12" s="9" t="s">
        <v>5</v>
      </c>
      <c r="B12" s="47" t="s">
        <v>70</v>
      </c>
      <c r="C12" s="8" t="s">
        <v>601</v>
      </c>
      <c r="D12" s="8" t="s">
        <v>602</v>
      </c>
      <c r="E12" s="8" t="s">
        <v>595</v>
      </c>
      <c r="F12" s="8"/>
      <c r="G12" s="8"/>
      <c r="H12" s="10">
        <v>0.3</v>
      </c>
      <c r="I12" s="54">
        <f>VLOOKUP(A12,İstasyonlar!$A$2:$D$776,4,0)</f>
        <v>1000000</v>
      </c>
      <c r="J12" s="54">
        <f t="shared" si="1"/>
        <v>5</v>
      </c>
      <c r="K12" t="str">
        <f t="shared" si="0"/>
        <v/>
      </c>
    </row>
    <row r="13" spans="1:11" x14ac:dyDescent="0.3">
      <c r="A13" s="9" t="s">
        <v>329</v>
      </c>
      <c r="B13" s="47" t="s">
        <v>330</v>
      </c>
      <c r="C13" s="8" t="s">
        <v>595</v>
      </c>
      <c r="D13" s="8"/>
      <c r="E13" s="8" t="s">
        <v>603</v>
      </c>
      <c r="F13" s="8" t="s">
        <v>596</v>
      </c>
      <c r="G13" s="8"/>
      <c r="H13" s="10">
        <v>6.5</v>
      </c>
      <c r="I13" s="54">
        <f>VLOOKUP(A13,İstasyonlar!$A$2:$D$776,4,0)</f>
        <v>1000000</v>
      </c>
      <c r="J13" s="54">
        <f t="shared" si="1"/>
        <v>6</v>
      </c>
      <c r="K13" t="str">
        <f t="shared" si="0"/>
        <v/>
      </c>
    </row>
    <row r="14" spans="1:11" x14ac:dyDescent="0.3">
      <c r="A14" s="9" t="s">
        <v>329</v>
      </c>
      <c r="B14" s="47" t="s">
        <v>331</v>
      </c>
      <c r="C14" s="8" t="s">
        <v>595</v>
      </c>
      <c r="D14" s="8"/>
      <c r="E14" s="8" t="s">
        <v>603</v>
      </c>
      <c r="F14" s="8" t="s">
        <v>596</v>
      </c>
      <c r="G14" s="8"/>
      <c r="H14" s="10">
        <v>2.8</v>
      </c>
      <c r="I14" s="54">
        <f>VLOOKUP(A14,İstasyonlar!$A$2:$D$776,4,0)</f>
        <v>1000000</v>
      </c>
      <c r="J14" s="54">
        <f t="shared" si="1"/>
        <v>6</v>
      </c>
      <c r="K14" t="str">
        <f t="shared" si="0"/>
        <v/>
      </c>
    </row>
    <row r="15" spans="1:11" x14ac:dyDescent="0.3">
      <c r="A15" s="9" t="s">
        <v>329</v>
      </c>
      <c r="B15" s="47" t="s">
        <v>332</v>
      </c>
      <c r="C15" s="8" t="s">
        <v>595</v>
      </c>
      <c r="D15" s="8"/>
      <c r="E15" s="8" t="s">
        <v>603</v>
      </c>
      <c r="F15" s="8" t="s">
        <v>596</v>
      </c>
      <c r="G15" s="8"/>
      <c r="H15" s="10">
        <v>3.1</v>
      </c>
      <c r="I15" s="54">
        <f>VLOOKUP(A15,İstasyonlar!$A$2:$D$776,4,0)</f>
        <v>1000000</v>
      </c>
      <c r="J15" s="54">
        <f t="shared" si="1"/>
        <v>6</v>
      </c>
      <c r="K15" t="str">
        <f t="shared" si="0"/>
        <v/>
      </c>
    </row>
    <row r="16" spans="1:11" x14ac:dyDescent="0.3">
      <c r="A16" s="9" t="s">
        <v>289</v>
      </c>
      <c r="B16" s="47" t="s">
        <v>290</v>
      </c>
      <c r="C16" s="8" t="s">
        <v>604</v>
      </c>
      <c r="D16" s="8" t="s">
        <v>605</v>
      </c>
      <c r="E16" s="8"/>
      <c r="F16" s="8"/>
      <c r="G16" s="8"/>
      <c r="H16" s="10">
        <v>4.3</v>
      </c>
      <c r="I16" s="54">
        <f>VLOOKUP(A16,İstasyonlar!$A$2:$D$776,4,0)</f>
        <v>1000000</v>
      </c>
      <c r="J16" s="54">
        <f t="shared" si="1"/>
        <v>7</v>
      </c>
      <c r="K16" t="str">
        <f t="shared" si="0"/>
        <v/>
      </c>
    </row>
    <row r="17" spans="1:11" x14ac:dyDescent="0.3">
      <c r="A17" s="9" t="s">
        <v>6</v>
      </c>
      <c r="B17" s="47" t="s">
        <v>73</v>
      </c>
      <c r="C17" s="8" t="s">
        <v>606</v>
      </c>
      <c r="D17" s="8" t="s">
        <v>599</v>
      </c>
      <c r="E17" s="8"/>
      <c r="F17" s="8"/>
      <c r="G17" s="8"/>
      <c r="H17" s="10">
        <v>5.3</v>
      </c>
      <c r="I17" s="54">
        <f>VLOOKUP(A17,İstasyonlar!$A$2:$D$776,4,0)</f>
        <v>999999999</v>
      </c>
      <c r="J17" s="54">
        <f t="shared" si="1"/>
        <v>8</v>
      </c>
      <c r="K17" t="str">
        <f t="shared" si="0"/>
        <v>Sabit</v>
      </c>
    </row>
    <row r="18" spans="1:11" x14ac:dyDescent="0.3">
      <c r="A18" s="9" t="s">
        <v>6</v>
      </c>
      <c r="B18" s="47" t="s">
        <v>74</v>
      </c>
      <c r="C18" s="8" t="s">
        <v>606</v>
      </c>
      <c r="D18" s="8" t="s">
        <v>599</v>
      </c>
      <c r="E18" s="8"/>
      <c r="F18" s="8"/>
      <c r="G18" s="8"/>
      <c r="H18" s="10">
        <v>6.4</v>
      </c>
      <c r="I18" s="54">
        <f>VLOOKUP(A18,İstasyonlar!$A$2:$D$776,4,0)</f>
        <v>999999999</v>
      </c>
      <c r="J18" s="54">
        <f t="shared" si="1"/>
        <v>8</v>
      </c>
      <c r="K18" t="str">
        <f t="shared" si="0"/>
        <v>Sabit</v>
      </c>
    </row>
    <row r="19" spans="1:11" x14ac:dyDescent="0.3">
      <c r="A19" s="9" t="s">
        <v>6</v>
      </c>
      <c r="B19" s="47" t="s">
        <v>75</v>
      </c>
      <c r="C19" s="8" t="s">
        <v>606</v>
      </c>
      <c r="D19" s="8" t="s">
        <v>599</v>
      </c>
      <c r="E19" s="8"/>
      <c r="F19" s="8"/>
      <c r="G19" s="8"/>
      <c r="H19" s="10">
        <v>2.4</v>
      </c>
      <c r="I19" s="54">
        <f>VLOOKUP(A19,İstasyonlar!$A$2:$D$776,4,0)</f>
        <v>999999999</v>
      </c>
      <c r="J19" s="54">
        <f t="shared" si="1"/>
        <v>8</v>
      </c>
      <c r="K19" t="str">
        <f t="shared" si="0"/>
        <v>Sabit</v>
      </c>
    </row>
    <row r="20" spans="1:11" x14ac:dyDescent="0.3">
      <c r="A20" s="9" t="s">
        <v>6</v>
      </c>
      <c r="B20" s="47" t="s">
        <v>76</v>
      </c>
      <c r="C20" s="8" t="s">
        <v>606</v>
      </c>
      <c r="D20" s="8" t="s">
        <v>599</v>
      </c>
      <c r="E20" s="8"/>
      <c r="F20" s="8"/>
      <c r="G20" s="8"/>
      <c r="H20" s="10">
        <v>2.7</v>
      </c>
      <c r="I20" s="54">
        <f>VLOOKUP(A20,İstasyonlar!$A$2:$D$776,4,0)</f>
        <v>999999999</v>
      </c>
      <c r="J20" s="54">
        <f t="shared" si="1"/>
        <v>8</v>
      </c>
      <c r="K20" t="str">
        <f t="shared" si="0"/>
        <v>Sabit</v>
      </c>
    </row>
    <row r="21" spans="1:11" x14ac:dyDescent="0.3">
      <c r="A21" s="9" t="s">
        <v>7</v>
      </c>
      <c r="B21" s="47" t="s">
        <v>77</v>
      </c>
      <c r="C21" s="8" t="s">
        <v>607</v>
      </c>
      <c r="D21" s="8" t="s">
        <v>608</v>
      </c>
      <c r="E21" s="8"/>
      <c r="F21" s="8"/>
      <c r="G21" s="8" t="s">
        <v>596</v>
      </c>
      <c r="H21" s="10">
        <v>9.1999999999999993</v>
      </c>
      <c r="I21" s="54">
        <f>VLOOKUP(A21,İstasyonlar!$A$2:$D$776,4,0)</f>
        <v>999999999</v>
      </c>
      <c r="J21" s="54">
        <f t="shared" si="1"/>
        <v>9</v>
      </c>
      <c r="K21" t="str">
        <f t="shared" si="0"/>
        <v>Sabit</v>
      </c>
    </row>
    <row r="22" spans="1:11" x14ac:dyDescent="0.3">
      <c r="A22" s="9" t="s">
        <v>7</v>
      </c>
      <c r="B22" s="47" t="s">
        <v>78</v>
      </c>
      <c r="C22" s="8" t="s">
        <v>607</v>
      </c>
      <c r="D22" s="8" t="s">
        <v>608</v>
      </c>
      <c r="E22" s="8"/>
      <c r="F22" s="8"/>
      <c r="G22" s="8" t="s">
        <v>596</v>
      </c>
      <c r="H22" s="10">
        <v>9.1999999999999993</v>
      </c>
      <c r="I22" s="54">
        <f>VLOOKUP(A22,İstasyonlar!$A$2:$D$776,4,0)</f>
        <v>999999999</v>
      </c>
      <c r="J22" s="54">
        <f t="shared" si="1"/>
        <v>9</v>
      </c>
      <c r="K22" t="str">
        <f t="shared" si="0"/>
        <v>Sabit</v>
      </c>
    </row>
    <row r="23" spans="1:11" x14ac:dyDescent="0.3">
      <c r="A23" s="9" t="s">
        <v>291</v>
      </c>
      <c r="B23" s="47" t="s">
        <v>292</v>
      </c>
      <c r="C23" s="8" t="s">
        <v>608</v>
      </c>
      <c r="D23" s="8" t="s">
        <v>607</v>
      </c>
      <c r="E23" s="8" t="s">
        <v>606</v>
      </c>
      <c r="F23" s="8"/>
      <c r="G23" s="8"/>
      <c r="H23" s="10">
        <v>9.1999999999999993</v>
      </c>
      <c r="I23" s="54">
        <f>VLOOKUP(A23,İstasyonlar!$A$2:$D$776,4,0)</f>
        <v>999999999</v>
      </c>
      <c r="J23" s="54">
        <f t="shared" si="1"/>
        <v>10</v>
      </c>
      <c r="K23" t="str">
        <f t="shared" si="0"/>
        <v>Sabit</v>
      </c>
    </row>
    <row r="24" spans="1:11" x14ac:dyDescent="0.3">
      <c r="A24" s="9" t="s">
        <v>291</v>
      </c>
      <c r="B24" s="47" t="s">
        <v>293</v>
      </c>
      <c r="C24" s="8" t="s">
        <v>608</v>
      </c>
      <c r="D24" s="8" t="s">
        <v>607</v>
      </c>
      <c r="E24" s="8" t="s">
        <v>606</v>
      </c>
      <c r="F24" s="8"/>
      <c r="G24" s="8"/>
      <c r="H24" s="10">
        <v>9.1999999999999993</v>
      </c>
      <c r="I24" s="54">
        <f>VLOOKUP(A24,İstasyonlar!$A$2:$D$776,4,0)</f>
        <v>999999999</v>
      </c>
      <c r="J24" s="54">
        <f t="shared" si="1"/>
        <v>10</v>
      </c>
      <c r="K24" t="str">
        <f t="shared" si="0"/>
        <v>Sabit</v>
      </c>
    </row>
    <row r="25" spans="1:11" x14ac:dyDescent="0.3">
      <c r="A25" s="9" t="s">
        <v>8</v>
      </c>
      <c r="B25" s="47" t="s">
        <v>81</v>
      </c>
      <c r="C25" s="8" t="s">
        <v>609</v>
      </c>
      <c r="D25" s="8"/>
      <c r="E25" s="8"/>
      <c r="F25" s="8"/>
      <c r="G25" s="8"/>
      <c r="H25" s="10">
        <v>5.5</v>
      </c>
      <c r="I25" s="54">
        <f>VLOOKUP(A25,İstasyonlar!$A$2:$D$776,4,0)</f>
        <v>999999999</v>
      </c>
      <c r="J25" s="54">
        <f t="shared" si="1"/>
        <v>11</v>
      </c>
      <c r="K25" t="str">
        <f t="shared" si="0"/>
        <v>Sabit</v>
      </c>
    </row>
    <row r="26" spans="1:11" x14ac:dyDescent="0.3">
      <c r="A26" s="9" t="s">
        <v>8</v>
      </c>
      <c r="B26" s="47" t="s">
        <v>340</v>
      </c>
      <c r="C26" s="8" t="s">
        <v>609</v>
      </c>
      <c r="D26" s="8"/>
      <c r="E26" s="8"/>
      <c r="F26" s="8"/>
      <c r="G26" s="8"/>
      <c r="H26" s="10">
        <v>3.1</v>
      </c>
      <c r="I26" s="54">
        <f>VLOOKUP(A26,İstasyonlar!$A$2:$D$776,4,0)</f>
        <v>999999999</v>
      </c>
      <c r="J26" s="54">
        <f t="shared" si="1"/>
        <v>11</v>
      </c>
      <c r="K26" t="str">
        <f t="shared" si="0"/>
        <v>Sabit</v>
      </c>
    </row>
    <row r="27" spans="1:11" x14ac:dyDescent="0.3">
      <c r="A27" s="9" t="s">
        <v>8</v>
      </c>
      <c r="B27" s="47" t="s">
        <v>341</v>
      </c>
      <c r="C27" s="8" t="s">
        <v>609</v>
      </c>
      <c r="D27" s="8"/>
      <c r="E27" s="8"/>
      <c r="F27" s="8"/>
      <c r="G27" s="8"/>
      <c r="H27" s="10">
        <v>4.5</v>
      </c>
      <c r="I27" s="54">
        <f>VLOOKUP(A27,İstasyonlar!$A$2:$D$776,4,0)</f>
        <v>999999999</v>
      </c>
      <c r="J27" s="54">
        <f t="shared" si="1"/>
        <v>11</v>
      </c>
      <c r="K27" t="str">
        <f t="shared" si="0"/>
        <v>Sabit</v>
      </c>
    </row>
    <row r="28" spans="1:11" x14ac:dyDescent="0.3">
      <c r="A28" s="9" t="s">
        <v>8</v>
      </c>
      <c r="B28" s="47" t="s">
        <v>80</v>
      </c>
      <c r="C28" s="8" t="s">
        <v>609</v>
      </c>
      <c r="D28" s="8"/>
      <c r="E28" s="8"/>
      <c r="F28" s="8"/>
      <c r="G28" s="8"/>
      <c r="H28" s="10">
        <v>2.7</v>
      </c>
      <c r="I28" s="54">
        <f>VLOOKUP(A28,İstasyonlar!$A$2:$D$776,4,0)</f>
        <v>999999999</v>
      </c>
      <c r="J28" s="54">
        <f t="shared" si="1"/>
        <v>11</v>
      </c>
      <c r="K28" t="str">
        <f t="shared" si="0"/>
        <v>Sabit</v>
      </c>
    </row>
    <row r="29" spans="1:11" x14ac:dyDescent="0.3">
      <c r="A29" s="9" t="s">
        <v>9</v>
      </c>
      <c r="B29" s="47" t="s">
        <v>83</v>
      </c>
      <c r="C29" s="8" t="s">
        <v>610</v>
      </c>
      <c r="D29" s="8" t="s">
        <v>611</v>
      </c>
      <c r="E29" s="8"/>
      <c r="F29" s="8"/>
      <c r="G29" s="8"/>
      <c r="H29" s="10">
        <v>3.9</v>
      </c>
      <c r="I29" s="54">
        <f>VLOOKUP(A29,İstasyonlar!$A$2:$D$776,4,0)</f>
        <v>1000000</v>
      </c>
      <c r="J29" s="54">
        <f t="shared" si="1"/>
        <v>12</v>
      </c>
      <c r="K29" t="str">
        <f t="shared" si="0"/>
        <v/>
      </c>
    </row>
    <row r="30" spans="1:11" x14ac:dyDescent="0.3">
      <c r="A30" s="9" t="s">
        <v>9</v>
      </c>
      <c r="B30" s="47" t="s">
        <v>84</v>
      </c>
      <c r="C30" s="8" t="s">
        <v>610</v>
      </c>
      <c r="D30" s="8" t="s">
        <v>611</v>
      </c>
      <c r="E30" s="8"/>
      <c r="F30" s="8"/>
      <c r="G30" s="8"/>
      <c r="H30" s="10">
        <v>5.5</v>
      </c>
      <c r="I30" s="54">
        <f>VLOOKUP(A30,İstasyonlar!$A$2:$D$776,4,0)</f>
        <v>1000000</v>
      </c>
      <c r="J30" s="54">
        <f t="shared" si="1"/>
        <v>12</v>
      </c>
      <c r="K30" t="str">
        <f t="shared" si="0"/>
        <v/>
      </c>
    </row>
    <row r="31" spans="1:11" x14ac:dyDescent="0.3">
      <c r="A31" s="9" t="s">
        <v>9</v>
      </c>
      <c r="B31" s="47" t="s">
        <v>85</v>
      </c>
      <c r="C31" s="8" t="s">
        <v>610</v>
      </c>
      <c r="D31" s="8" t="s">
        <v>611</v>
      </c>
      <c r="E31" s="8"/>
      <c r="F31" s="8"/>
      <c r="G31" s="8"/>
      <c r="H31" s="10">
        <v>7.2</v>
      </c>
      <c r="I31" s="54">
        <f>VLOOKUP(A31,İstasyonlar!$A$2:$D$776,4,0)</f>
        <v>1000000</v>
      </c>
      <c r="J31" s="54">
        <f t="shared" si="1"/>
        <v>12</v>
      </c>
      <c r="K31" t="str">
        <f t="shared" si="0"/>
        <v/>
      </c>
    </row>
    <row r="32" spans="1:11" x14ac:dyDescent="0.3">
      <c r="A32" s="9" t="s">
        <v>13</v>
      </c>
      <c r="B32" s="47" t="s">
        <v>86</v>
      </c>
      <c r="C32" s="8" t="s">
        <v>612</v>
      </c>
      <c r="D32" s="8"/>
      <c r="E32" s="8"/>
      <c r="F32" s="8"/>
      <c r="G32" s="8"/>
      <c r="H32" s="10">
        <v>11.5</v>
      </c>
      <c r="I32" s="54">
        <f>VLOOKUP(A32,İstasyonlar!$A$2:$D$776,4,0)</f>
        <v>1000000</v>
      </c>
      <c r="J32" s="54">
        <f t="shared" si="1"/>
        <v>13</v>
      </c>
      <c r="K32" t="str">
        <f t="shared" si="0"/>
        <v/>
      </c>
    </row>
    <row r="33" spans="1:11" x14ac:dyDescent="0.3">
      <c r="A33" s="9" t="s">
        <v>14</v>
      </c>
      <c r="B33" s="47" t="s">
        <v>87</v>
      </c>
      <c r="C33" s="8" t="s">
        <v>613</v>
      </c>
      <c r="D33" s="8" t="s">
        <v>612</v>
      </c>
      <c r="E33" s="8"/>
      <c r="F33" s="8"/>
      <c r="G33" s="8"/>
      <c r="H33" s="10">
        <v>6.2</v>
      </c>
      <c r="I33" s="54">
        <f>VLOOKUP(A33,İstasyonlar!$A$2:$D$776,4,0)</f>
        <v>1000000</v>
      </c>
      <c r="J33" s="54">
        <f t="shared" si="1"/>
        <v>14</v>
      </c>
      <c r="K33" t="str">
        <f t="shared" si="0"/>
        <v/>
      </c>
    </row>
    <row r="34" spans="1:11" x14ac:dyDescent="0.3">
      <c r="A34" s="9" t="s">
        <v>14</v>
      </c>
      <c r="B34" s="47" t="s">
        <v>88</v>
      </c>
      <c r="C34" s="8" t="s">
        <v>613</v>
      </c>
      <c r="D34" s="8" t="s">
        <v>612</v>
      </c>
      <c r="E34" s="8"/>
      <c r="F34" s="8"/>
      <c r="G34" s="8"/>
      <c r="H34" s="10">
        <v>3.1</v>
      </c>
      <c r="I34" s="54">
        <f>VLOOKUP(A34,İstasyonlar!$A$2:$D$776,4,0)</f>
        <v>1000000</v>
      </c>
      <c r="J34" s="54">
        <f t="shared" si="1"/>
        <v>14</v>
      </c>
      <c r="K34" t="str">
        <f t="shared" si="0"/>
        <v/>
      </c>
    </row>
    <row r="35" spans="1:11" x14ac:dyDescent="0.3">
      <c r="A35" s="9" t="s">
        <v>12</v>
      </c>
      <c r="B35" s="47" t="s">
        <v>89</v>
      </c>
      <c r="C35" s="8" t="s">
        <v>614</v>
      </c>
      <c r="D35" s="8"/>
      <c r="E35" s="8"/>
      <c r="F35" s="8"/>
      <c r="G35" s="8"/>
      <c r="H35" s="10">
        <v>3.2</v>
      </c>
      <c r="I35" s="54">
        <f>VLOOKUP(A35,İstasyonlar!$A$2:$D$776,4,0)</f>
        <v>999999999</v>
      </c>
      <c r="J35" s="54">
        <f t="shared" si="1"/>
        <v>15</v>
      </c>
      <c r="K35" t="str">
        <f t="shared" si="0"/>
        <v>Sabit</v>
      </c>
    </row>
    <row r="36" spans="1:11" x14ac:dyDescent="0.3">
      <c r="A36" s="9" t="s">
        <v>12</v>
      </c>
      <c r="B36" s="47" t="s">
        <v>90</v>
      </c>
      <c r="C36" s="8" t="s">
        <v>614</v>
      </c>
      <c r="D36" s="8"/>
      <c r="E36" s="8"/>
      <c r="F36" s="8"/>
      <c r="G36" s="8"/>
      <c r="H36" s="10">
        <v>5.5</v>
      </c>
      <c r="I36" s="54">
        <f>VLOOKUP(A36,İstasyonlar!$A$2:$D$776,4,0)</f>
        <v>999999999</v>
      </c>
      <c r="J36" s="54">
        <f t="shared" si="1"/>
        <v>15</v>
      </c>
      <c r="K36" t="str">
        <f t="shared" si="0"/>
        <v>Sabit</v>
      </c>
    </row>
    <row r="37" spans="1:11" x14ac:dyDescent="0.3">
      <c r="A37" s="9" t="s">
        <v>12</v>
      </c>
      <c r="B37" s="47" t="s">
        <v>91</v>
      </c>
      <c r="C37" s="8" t="s">
        <v>614</v>
      </c>
      <c r="D37" s="8"/>
      <c r="E37" s="8"/>
      <c r="F37" s="8"/>
      <c r="G37" s="8"/>
      <c r="H37" s="10">
        <v>5</v>
      </c>
      <c r="I37" s="54">
        <f>VLOOKUP(A37,İstasyonlar!$A$2:$D$776,4,0)</f>
        <v>999999999</v>
      </c>
      <c r="J37" s="54">
        <f t="shared" si="1"/>
        <v>15</v>
      </c>
      <c r="K37" t="str">
        <f t="shared" si="0"/>
        <v>Sabit</v>
      </c>
    </row>
    <row r="38" spans="1:11" x14ac:dyDescent="0.3">
      <c r="A38" s="9" t="s">
        <v>11</v>
      </c>
      <c r="B38" s="47" t="s">
        <v>92</v>
      </c>
      <c r="C38" s="8" t="s">
        <v>615</v>
      </c>
      <c r="D38" s="8"/>
      <c r="E38" s="8"/>
      <c r="F38" s="8"/>
      <c r="G38" s="8"/>
      <c r="H38" s="10">
        <v>6</v>
      </c>
      <c r="I38" s="54">
        <f>VLOOKUP(A38,İstasyonlar!$A$2:$D$776,4,0)</f>
        <v>999999999</v>
      </c>
      <c r="J38" s="54">
        <f t="shared" si="1"/>
        <v>16</v>
      </c>
      <c r="K38" t="str">
        <f t="shared" si="0"/>
        <v>Sabit</v>
      </c>
    </row>
    <row r="39" spans="1:11" x14ac:dyDescent="0.3">
      <c r="A39" s="9" t="s">
        <v>11</v>
      </c>
      <c r="B39" s="47" t="s">
        <v>94</v>
      </c>
      <c r="C39" s="8" t="s">
        <v>615</v>
      </c>
      <c r="D39" s="8"/>
      <c r="E39" s="8"/>
      <c r="F39" s="8"/>
      <c r="G39" s="8"/>
      <c r="H39" s="10">
        <v>8.1</v>
      </c>
      <c r="I39" s="54">
        <f>VLOOKUP(A39,İstasyonlar!$A$2:$D$776,4,0)</f>
        <v>999999999</v>
      </c>
      <c r="J39" s="54">
        <f t="shared" si="1"/>
        <v>16</v>
      </c>
      <c r="K39" t="str">
        <f t="shared" si="0"/>
        <v>Sabit</v>
      </c>
    </row>
    <row r="40" spans="1:11" x14ac:dyDescent="0.3">
      <c r="A40" s="9" t="s">
        <v>11</v>
      </c>
      <c r="B40" s="47" t="s">
        <v>95</v>
      </c>
      <c r="C40" s="8" t="s">
        <v>615</v>
      </c>
      <c r="D40" s="8"/>
      <c r="E40" s="8"/>
      <c r="F40" s="8"/>
      <c r="G40" s="8"/>
      <c r="H40" s="10">
        <v>3.8</v>
      </c>
      <c r="I40" s="54">
        <f>VLOOKUP(A40,İstasyonlar!$A$2:$D$776,4,0)</f>
        <v>999999999</v>
      </c>
      <c r="J40" s="54">
        <f t="shared" si="1"/>
        <v>16</v>
      </c>
      <c r="K40" t="str">
        <f t="shared" si="0"/>
        <v>Sabit</v>
      </c>
    </row>
    <row r="41" spans="1:11" x14ac:dyDescent="0.3">
      <c r="A41" s="9" t="s">
        <v>10</v>
      </c>
      <c r="B41" s="47" t="s">
        <v>96</v>
      </c>
      <c r="C41" s="8" t="s">
        <v>616</v>
      </c>
      <c r="D41" s="8" t="s">
        <v>604</v>
      </c>
      <c r="E41" s="8"/>
      <c r="F41" s="8"/>
      <c r="G41" s="8"/>
      <c r="H41" s="10">
        <v>3.5</v>
      </c>
      <c r="I41" s="54">
        <f>VLOOKUP(A41,İstasyonlar!$A$2:$D$776,4,0)</f>
        <v>999999999</v>
      </c>
      <c r="J41" s="54">
        <f t="shared" si="1"/>
        <v>17</v>
      </c>
      <c r="K41" t="str">
        <f t="shared" si="0"/>
        <v>Sabit</v>
      </c>
    </row>
    <row r="42" spans="1:11" x14ac:dyDescent="0.3">
      <c r="A42" s="9" t="s">
        <v>10</v>
      </c>
      <c r="B42" s="47" t="s">
        <v>97</v>
      </c>
      <c r="C42" s="8" t="s">
        <v>616</v>
      </c>
      <c r="D42" s="8" t="s">
        <v>604</v>
      </c>
      <c r="E42" s="8"/>
      <c r="F42" s="8"/>
      <c r="G42" s="8"/>
      <c r="H42" s="10">
        <v>3.1</v>
      </c>
      <c r="I42" s="54">
        <f>VLOOKUP(A42,İstasyonlar!$A$2:$D$776,4,0)</f>
        <v>999999999</v>
      </c>
      <c r="J42" s="54">
        <f t="shared" si="1"/>
        <v>17</v>
      </c>
      <c r="K42" t="str">
        <f t="shared" si="0"/>
        <v>Sabit</v>
      </c>
    </row>
    <row r="43" spans="1:11" x14ac:dyDescent="0.3">
      <c r="A43" s="9" t="s">
        <v>15</v>
      </c>
      <c r="B43" s="47" t="s">
        <v>99</v>
      </c>
      <c r="C43" s="8" t="s">
        <v>617</v>
      </c>
      <c r="D43" s="8" t="s">
        <v>618</v>
      </c>
      <c r="E43" s="8" t="s">
        <v>619</v>
      </c>
      <c r="F43" s="8"/>
      <c r="G43" s="8"/>
      <c r="H43" s="10">
        <v>2.1</v>
      </c>
      <c r="I43" s="54">
        <f>VLOOKUP(A43,İstasyonlar!$A$2:$D$776,4,0)</f>
        <v>999999999</v>
      </c>
      <c r="J43" s="54">
        <f t="shared" si="1"/>
        <v>18</v>
      </c>
      <c r="K43" t="str">
        <f t="shared" si="0"/>
        <v>Sabit</v>
      </c>
    </row>
    <row r="44" spans="1:11" x14ac:dyDescent="0.3">
      <c r="A44" s="9" t="s">
        <v>15</v>
      </c>
      <c r="B44" s="47" t="s">
        <v>100</v>
      </c>
      <c r="C44" s="8" t="s">
        <v>617</v>
      </c>
      <c r="D44" s="8" t="s">
        <v>618</v>
      </c>
      <c r="E44" s="8" t="s">
        <v>619</v>
      </c>
      <c r="F44" s="8"/>
      <c r="G44" s="8"/>
      <c r="H44" s="10">
        <v>1.8</v>
      </c>
      <c r="I44" s="54">
        <f>VLOOKUP(A44,İstasyonlar!$A$2:$D$776,4,0)</f>
        <v>999999999</v>
      </c>
      <c r="J44" s="54">
        <f t="shared" si="1"/>
        <v>18</v>
      </c>
      <c r="K44" t="str">
        <f t="shared" si="0"/>
        <v>Sabit</v>
      </c>
    </row>
    <row r="45" spans="1:11" x14ac:dyDescent="0.3">
      <c r="A45" s="9" t="s">
        <v>15</v>
      </c>
      <c r="B45" s="47" t="s">
        <v>101</v>
      </c>
      <c r="C45" s="8" t="s">
        <v>617</v>
      </c>
      <c r="D45" s="8" t="s">
        <v>618</v>
      </c>
      <c r="E45" s="8" t="s">
        <v>619</v>
      </c>
      <c r="F45" s="8"/>
      <c r="G45" s="8"/>
      <c r="H45" s="10">
        <v>3.2</v>
      </c>
      <c r="I45" s="54">
        <f>VLOOKUP(A45,İstasyonlar!$A$2:$D$776,4,0)</f>
        <v>999999999</v>
      </c>
      <c r="J45" s="54">
        <f t="shared" si="1"/>
        <v>18</v>
      </c>
      <c r="K45" t="str">
        <f t="shared" si="0"/>
        <v>Sabit</v>
      </c>
    </row>
    <row r="46" spans="1:11" x14ac:dyDescent="0.3">
      <c r="A46" s="9" t="s">
        <v>16</v>
      </c>
      <c r="B46" s="47" t="s">
        <v>102</v>
      </c>
      <c r="C46" s="8" t="s">
        <v>619</v>
      </c>
      <c r="D46" s="8"/>
      <c r="E46" s="8"/>
      <c r="F46" s="8" t="s">
        <v>617</v>
      </c>
      <c r="G46" s="8"/>
      <c r="H46" s="10">
        <v>3.2</v>
      </c>
      <c r="I46" s="54">
        <f>VLOOKUP(A46,İstasyonlar!$A$2:$D$776,4,0)</f>
        <v>1000000</v>
      </c>
      <c r="J46" s="54">
        <f t="shared" si="1"/>
        <v>19</v>
      </c>
      <c r="K46" t="str">
        <f t="shared" si="0"/>
        <v/>
      </c>
    </row>
    <row r="47" spans="1:11" x14ac:dyDescent="0.3">
      <c r="A47" s="9" t="s">
        <v>16</v>
      </c>
      <c r="B47" s="47" t="s">
        <v>103</v>
      </c>
      <c r="C47" s="8" t="s">
        <v>619</v>
      </c>
      <c r="D47" s="8"/>
      <c r="E47" s="8"/>
      <c r="F47" s="8" t="s">
        <v>617</v>
      </c>
      <c r="G47" s="8"/>
      <c r="H47" s="10">
        <v>3.2</v>
      </c>
      <c r="I47" s="54">
        <f>VLOOKUP(A47,İstasyonlar!$A$2:$D$776,4,0)</f>
        <v>1000000</v>
      </c>
      <c r="J47" s="54">
        <f t="shared" si="1"/>
        <v>19</v>
      </c>
      <c r="K47" t="str">
        <f t="shared" si="0"/>
        <v/>
      </c>
    </row>
    <row r="48" spans="1:11" x14ac:dyDescent="0.3">
      <c r="A48" s="9" t="s">
        <v>16</v>
      </c>
      <c r="B48" s="47" t="s">
        <v>104</v>
      </c>
      <c r="C48" s="8" t="s">
        <v>619</v>
      </c>
      <c r="D48" s="8"/>
      <c r="E48" s="8"/>
      <c r="F48" s="8" t="s">
        <v>617</v>
      </c>
      <c r="G48" s="8"/>
      <c r="H48" s="10">
        <v>4.5</v>
      </c>
      <c r="I48" s="54">
        <f>VLOOKUP(A48,İstasyonlar!$A$2:$D$776,4,0)</f>
        <v>1000000</v>
      </c>
      <c r="J48" s="54">
        <f t="shared" si="1"/>
        <v>19</v>
      </c>
      <c r="K48" t="str">
        <f t="shared" si="0"/>
        <v/>
      </c>
    </row>
    <row r="49" spans="1:11" x14ac:dyDescent="0.3">
      <c r="A49" s="9" t="s">
        <v>16</v>
      </c>
      <c r="B49" s="47" t="s">
        <v>105</v>
      </c>
      <c r="C49" s="8" t="s">
        <v>619</v>
      </c>
      <c r="D49" s="8"/>
      <c r="E49" s="8"/>
      <c r="F49" s="8" t="s">
        <v>617</v>
      </c>
      <c r="G49" s="8"/>
      <c r="H49" s="10">
        <v>6.8</v>
      </c>
      <c r="I49" s="54">
        <f>VLOOKUP(A49,İstasyonlar!$A$2:$D$776,4,0)</f>
        <v>1000000</v>
      </c>
      <c r="J49" s="54">
        <f t="shared" si="1"/>
        <v>19</v>
      </c>
      <c r="K49" t="str">
        <f t="shared" si="0"/>
        <v/>
      </c>
    </row>
    <row r="50" spans="1:11" x14ac:dyDescent="0.3">
      <c r="A50" s="9" t="s">
        <v>17</v>
      </c>
      <c r="B50" s="47" t="s">
        <v>108</v>
      </c>
      <c r="C50" s="8" t="s">
        <v>618</v>
      </c>
      <c r="D50" s="8" t="s">
        <v>619</v>
      </c>
      <c r="E50" s="8" t="s">
        <v>620</v>
      </c>
      <c r="F50" s="8"/>
      <c r="G50" s="8"/>
      <c r="H50" s="10">
        <v>3.1</v>
      </c>
      <c r="I50" s="54">
        <f>VLOOKUP(A50,İstasyonlar!$A$2:$D$776,4,0)</f>
        <v>1000000</v>
      </c>
      <c r="J50" s="54">
        <f t="shared" si="1"/>
        <v>20</v>
      </c>
      <c r="K50" t="str">
        <f t="shared" si="0"/>
        <v/>
      </c>
    </row>
    <row r="51" spans="1:11" x14ac:dyDescent="0.3">
      <c r="A51" s="9" t="s">
        <v>17</v>
      </c>
      <c r="B51" s="47" t="s">
        <v>109</v>
      </c>
      <c r="C51" s="8" t="s">
        <v>618</v>
      </c>
      <c r="D51" s="8" t="s">
        <v>619</v>
      </c>
      <c r="E51" s="8" t="s">
        <v>620</v>
      </c>
      <c r="F51" s="8"/>
      <c r="G51" s="8"/>
      <c r="H51" s="10">
        <v>2.5</v>
      </c>
      <c r="I51" s="54">
        <f>VLOOKUP(A51,İstasyonlar!$A$2:$D$776,4,0)</f>
        <v>1000000</v>
      </c>
      <c r="J51" s="54">
        <f t="shared" si="1"/>
        <v>20</v>
      </c>
      <c r="K51" t="str">
        <f t="shared" si="0"/>
        <v/>
      </c>
    </row>
    <row r="52" spans="1:11" x14ac:dyDescent="0.3">
      <c r="A52" s="9" t="s">
        <v>17</v>
      </c>
      <c r="B52" s="47" t="s">
        <v>110</v>
      </c>
      <c r="C52" s="8" t="s">
        <v>618</v>
      </c>
      <c r="D52" s="8" t="s">
        <v>619</v>
      </c>
      <c r="E52" s="8" t="s">
        <v>620</v>
      </c>
      <c r="F52" s="8"/>
      <c r="G52" s="8"/>
      <c r="H52" s="10">
        <v>3.1</v>
      </c>
      <c r="I52" s="54">
        <f>VLOOKUP(A52,İstasyonlar!$A$2:$D$776,4,0)</f>
        <v>1000000</v>
      </c>
      <c r="J52" s="54">
        <f t="shared" si="1"/>
        <v>20</v>
      </c>
      <c r="K52" t="str">
        <f t="shared" si="0"/>
        <v/>
      </c>
    </row>
    <row r="53" spans="1:11" x14ac:dyDescent="0.3">
      <c r="A53" s="9" t="s">
        <v>17</v>
      </c>
      <c r="B53" s="47" t="s">
        <v>111</v>
      </c>
      <c r="C53" s="8" t="s">
        <v>618</v>
      </c>
      <c r="D53" s="8" t="s">
        <v>619</v>
      </c>
      <c r="E53" s="8" t="s">
        <v>620</v>
      </c>
      <c r="F53" s="8"/>
      <c r="G53" s="8"/>
      <c r="H53" s="10">
        <v>5.5</v>
      </c>
      <c r="I53" s="54">
        <f>VLOOKUP(A53,İstasyonlar!$A$2:$D$776,4,0)</f>
        <v>1000000</v>
      </c>
      <c r="J53" s="54">
        <f t="shared" si="1"/>
        <v>20</v>
      </c>
      <c r="K53" t="str">
        <f t="shared" si="0"/>
        <v/>
      </c>
    </row>
    <row r="54" spans="1:11" x14ac:dyDescent="0.3">
      <c r="A54" s="9" t="s">
        <v>20</v>
      </c>
      <c r="B54" s="47" t="s">
        <v>112</v>
      </c>
      <c r="C54" s="8" t="s">
        <v>621</v>
      </c>
      <c r="D54" s="8"/>
      <c r="E54" s="8"/>
      <c r="F54" s="8"/>
      <c r="G54" s="8"/>
      <c r="H54" s="10">
        <v>4.5</v>
      </c>
      <c r="I54" s="54">
        <f>VLOOKUP(A54,İstasyonlar!$A$2:$D$776,4,0)</f>
        <v>1000000</v>
      </c>
      <c r="J54" s="54">
        <f t="shared" si="1"/>
        <v>21</v>
      </c>
      <c r="K54" t="str">
        <f t="shared" si="0"/>
        <v/>
      </c>
    </row>
    <row r="55" spans="1:11" x14ac:dyDescent="0.3">
      <c r="A55" s="9" t="s">
        <v>20</v>
      </c>
      <c r="B55" s="47" t="s">
        <v>113</v>
      </c>
      <c r="C55" s="8" t="s">
        <v>621</v>
      </c>
      <c r="D55" s="8"/>
      <c r="E55" s="8"/>
      <c r="F55" s="8"/>
      <c r="G55" s="8"/>
      <c r="H55" s="10">
        <v>3.8</v>
      </c>
      <c r="I55" s="54">
        <f>VLOOKUP(A55,İstasyonlar!$A$2:$D$776,4,0)</f>
        <v>1000000</v>
      </c>
      <c r="J55" s="54">
        <f t="shared" si="1"/>
        <v>21</v>
      </c>
      <c r="K55" t="str">
        <f t="shared" si="0"/>
        <v/>
      </c>
    </row>
    <row r="56" spans="1:11" x14ac:dyDescent="0.3">
      <c r="A56" s="9" t="s">
        <v>20</v>
      </c>
      <c r="B56" s="47" t="s">
        <v>114</v>
      </c>
      <c r="C56" s="8" t="s">
        <v>621</v>
      </c>
      <c r="D56" s="8"/>
      <c r="E56" s="8"/>
      <c r="F56" s="8"/>
      <c r="G56" s="8"/>
      <c r="H56" s="10">
        <v>3.6</v>
      </c>
      <c r="I56" s="54">
        <f>VLOOKUP(A56,İstasyonlar!$A$2:$D$776,4,0)</f>
        <v>1000000</v>
      </c>
      <c r="J56" s="54">
        <f t="shared" si="1"/>
        <v>21</v>
      </c>
      <c r="K56" t="str">
        <f t="shared" si="0"/>
        <v/>
      </c>
    </row>
    <row r="57" spans="1:11" x14ac:dyDescent="0.3">
      <c r="A57" s="9" t="s">
        <v>20</v>
      </c>
      <c r="B57" s="47" t="s">
        <v>115</v>
      </c>
      <c r="C57" s="8" t="s">
        <v>621</v>
      </c>
      <c r="D57" s="8"/>
      <c r="E57" s="8"/>
      <c r="F57" s="8"/>
      <c r="G57" s="8"/>
      <c r="H57" s="10">
        <v>3.4</v>
      </c>
      <c r="I57" s="54">
        <f>VLOOKUP(A57,İstasyonlar!$A$2:$D$776,4,0)</f>
        <v>1000000</v>
      </c>
      <c r="J57" s="54">
        <f t="shared" si="1"/>
        <v>21</v>
      </c>
      <c r="K57" t="str">
        <f t="shared" si="0"/>
        <v/>
      </c>
    </row>
    <row r="58" spans="1:11" x14ac:dyDescent="0.3">
      <c r="A58" s="9" t="s">
        <v>20</v>
      </c>
      <c r="B58" s="47" t="s">
        <v>116</v>
      </c>
      <c r="C58" s="8" t="s">
        <v>621</v>
      </c>
      <c r="D58" s="8"/>
      <c r="E58" s="8"/>
      <c r="F58" s="8"/>
      <c r="G58" s="8"/>
      <c r="H58" s="10">
        <v>3.8</v>
      </c>
      <c r="I58" s="54">
        <f>VLOOKUP(A58,İstasyonlar!$A$2:$D$776,4,0)</f>
        <v>1000000</v>
      </c>
      <c r="J58" s="54">
        <f t="shared" si="1"/>
        <v>21</v>
      </c>
      <c r="K58" t="str">
        <f t="shared" si="0"/>
        <v/>
      </c>
    </row>
    <row r="59" spans="1:11" x14ac:dyDescent="0.3">
      <c r="A59" s="9" t="s">
        <v>20</v>
      </c>
      <c r="B59" s="47" t="s">
        <v>117</v>
      </c>
      <c r="C59" s="8" t="s">
        <v>621</v>
      </c>
      <c r="D59" s="8"/>
      <c r="E59" s="8"/>
      <c r="F59" s="8"/>
      <c r="G59" s="8"/>
      <c r="H59" s="10">
        <v>3.1</v>
      </c>
      <c r="I59" s="54">
        <f>VLOOKUP(A59,İstasyonlar!$A$2:$D$776,4,0)</f>
        <v>1000000</v>
      </c>
      <c r="J59" s="54">
        <f t="shared" si="1"/>
        <v>21</v>
      </c>
      <c r="K59" t="str">
        <f t="shared" si="0"/>
        <v/>
      </c>
    </row>
    <row r="60" spans="1:11" x14ac:dyDescent="0.3">
      <c r="A60" s="9" t="s">
        <v>21</v>
      </c>
      <c r="B60" s="47" t="s">
        <v>119</v>
      </c>
      <c r="C60" s="8" t="s">
        <v>602</v>
      </c>
      <c r="D60" s="8" t="s">
        <v>601</v>
      </c>
      <c r="E60" s="8"/>
      <c r="F60" s="8"/>
      <c r="G60" s="8"/>
      <c r="H60" s="10">
        <v>8.8000000000000007</v>
      </c>
      <c r="I60" s="54">
        <f>VLOOKUP(A60,İstasyonlar!$A$2:$D$776,4,0)</f>
        <v>1000000</v>
      </c>
      <c r="J60" s="54">
        <f t="shared" si="1"/>
        <v>22</v>
      </c>
      <c r="K60" t="str">
        <f t="shared" si="0"/>
        <v/>
      </c>
    </row>
    <row r="61" spans="1:11" x14ac:dyDescent="0.3">
      <c r="A61" s="9" t="s">
        <v>21</v>
      </c>
      <c r="B61" s="47" t="s">
        <v>120</v>
      </c>
      <c r="C61" s="8" t="s">
        <v>602</v>
      </c>
      <c r="D61" s="8" t="s">
        <v>601</v>
      </c>
      <c r="E61" s="8"/>
      <c r="F61" s="8"/>
      <c r="G61" s="8"/>
      <c r="H61" s="10">
        <v>4.0999999999999996</v>
      </c>
      <c r="I61" s="54">
        <f>VLOOKUP(A61,İstasyonlar!$A$2:$D$776,4,0)</f>
        <v>1000000</v>
      </c>
      <c r="J61" s="54">
        <f t="shared" si="1"/>
        <v>22</v>
      </c>
      <c r="K61" t="str">
        <f t="shared" si="0"/>
        <v/>
      </c>
    </row>
    <row r="62" spans="1:11" x14ac:dyDescent="0.3">
      <c r="A62" s="9" t="s">
        <v>22</v>
      </c>
      <c r="B62" s="47" t="s">
        <v>121</v>
      </c>
      <c r="C62" s="8" t="s">
        <v>603</v>
      </c>
      <c r="D62" s="8" t="s">
        <v>622</v>
      </c>
      <c r="E62" s="8"/>
      <c r="F62" s="8"/>
      <c r="G62" s="8"/>
      <c r="H62" s="10">
        <v>4.4000000000000004</v>
      </c>
      <c r="I62" s="54">
        <f>VLOOKUP(A62,İstasyonlar!$A$2:$D$776,4,0)</f>
        <v>999999999</v>
      </c>
      <c r="J62" s="54">
        <f t="shared" si="1"/>
        <v>23</v>
      </c>
      <c r="K62" t="str">
        <f t="shared" si="0"/>
        <v>Sabit</v>
      </c>
    </row>
    <row r="63" spans="1:11" x14ac:dyDescent="0.3">
      <c r="A63" s="9" t="s">
        <v>22</v>
      </c>
      <c r="B63" s="47" t="s">
        <v>124</v>
      </c>
      <c r="C63" s="8" t="s">
        <v>603</v>
      </c>
      <c r="D63" s="8" t="s">
        <v>622</v>
      </c>
      <c r="E63" s="8"/>
      <c r="F63" s="8"/>
      <c r="G63" s="8"/>
      <c r="H63" s="10">
        <v>6.5</v>
      </c>
      <c r="I63" s="54">
        <f>VLOOKUP(A63,İstasyonlar!$A$2:$D$776,4,0)</f>
        <v>999999999</v>
      </c>
      <c r="J63" s="54">
        <f t="shared" si="1"/>
        <v>23</v>
      </c>
      <c r="K63" t="str">
        <f t="shared" si="0"/>
        <v>Sabit</v>
      </c>
    </row>
    <row r="64" spans="1:11" x14ac:dyDescent="0.3">
      <c r="A64" s="9" t="s">
        <v>23</v>
      </c>
      <c r="B64" s="47" t="s">
        <v>129</v>
      </c>
      <c r="C64" s="8" t="s">
        <v>622</v>
      </c>
      <c r="D64" s="8" t="s">
        <v>623</v>
      </c>
      <c r="E64" s="8" t="s">
        <v>624</v>
      </c>
      <c r="F64" s="8"/>
      <c r="G64" s="8"/>
      <c r="H64" s="10">
        <v>4.5</v>
      </c>
      <c r="I64" s="54">
        <f>VLOOKUP(A64,İstasyonlar!$A$2:$D$776,4,0)</f>
        <v>999999999</v>
      </c>
      <c r="J64" s="54">
        <f t="shared" si="1"/>
        <v>24</v>
      </c>
      <c r="K64" t="str">
        <f t="shared" si="0"/>
        <v>Sabit</v>
      </c>
    </row>
    <row r="65" spans="1:11" x14ac:dyDescent="0.3">
      <c r="A65" s="9" t="s">
        <v>23</v>
      </c>
      <c r="B65" s="47" t="s">
        <v>125</v>
      </c>
      <c r="C65" s="8" t="s">
        <v>622</v>
      </c>
      <c r="D65" s="8" t="s">
        <v>623</v>
      </c>
      <c r="E65" s="8" t="s">
        <v>624</v>
      </c>
      <c r="F65" s="8"/>
      <c r="G65" s="8"/>
      <c r="H65" s="10">
        <v>5.8</v>
      </c>
      <c r="I65" s="54">
        <f>VLOOKUP(A65,İstasyonlar!$A$2:$D$776,4,0)</f>
        <v>999999999</v>
      </c>
      <c r="J65" s="54">
        <f t="shared" si="1"/>
        <v>24</v>
      </c>
      <c r="K65" t="str">
        <f t="shared" si="0"/>
        <v>Sabit</v>
      </c>
    </row>
    <row r="66" spans="1:11" x14ac:dyDescent="0.3">
      <c r="A66" s="9" t="s">
        <v>23</v>
      </c>
      <c r="B66" s="47" t="s">
        <v>126</v>
      </c>
      <c r="C66" s="8" t="s">
        <v>622</v>
      </c>
      <c r="D66" s="8" t="s">
        <v>623</v>
      </c>
      <c r="E66" s="8" t="s">
        <v>624</v>
      </c>
      <c r="F66" s="8"/>
      <c r="G66" s="8"/>
      <c r="H66" s="10">
        <v>3.6</v>
      </c>
      <c r="I66" s="54">
        <f>VLOOKUP(A66,İstasyonlar!$A$2:$D$776,4,0)</f>
        <v>999999999</v>
      </c>
      <c r="J66" s="54">
        <f t="shared" si="1"/>
        <v>24</v>
      </c>
      <c r="K66" t="str">
        <f t="shared" ref="K66:K129" si="2">IF(I66=1000000,"","Sabit")</f>
        <v>Sabit</v>
      </c>
    </row>
    <row r="67" spans="1:11" x14ac:dyDescent="0.3">
      <c r="A67" s="9" t="s">
        <v>23</v>
      </c>
      <c r="B67" s="47" t="s">
        <v>127</v>
      </c>
      <c r="C67" s="8" t="s">
        <v>622</v>
      </c>
      <c r="D67" s="8" t="s">
        <v>623</v>
      </c>
      <c r="E67" s="8" t="s">
        <v>624</v>
      </c>
      <c r="F67" s="8"/>
      <c r="G67" s="8"/>
      <c r="H67" s="10">
        <v>3.6</v>
      </c>
      <c r="I67" s="54">
        <f>VLOOKUP(A67,İstasyonlar!$A$2:$D$776,4,0)</f>
        <v>999999999</v>
      </c>
      <c r="J67" s="54">
        <f t="shared" ref="J67:J130" si="3">IF(A67=A66, J66, J66+1)</f>
        <v>24</v>
      </c>
      <c r="K67" t="str">
        <f t="shared" si="2"/>
        <v>Sabit</v>
      </c>
    </row>
    <row r="68" spans="1:11" x14ac:dyDescent="0.3">
      <c r="A68" s="9" t="s">
        <v>23</v>
      </c>
      <c r="B68" s="47" t="s">
        <v>128</v>
      </c>
      <c r="C68" s="8" t="s">
        <v>622</v>
      </c>
      <c r="D68" s="8" t="s">
        <v>623</v>
      </c>
      <c r="E68" s="8" t="s">
        <v>624</v>
      </c>
      <c r="F68" s="8"/>
      <c r="G68" s="8"/>
      <c r="H68" s="10">
        <v>3.6</v>
      </c>
      <c r="I68" s="54">
        <f>VLOOKUP(A68,İstasyonlar!$A$2:$D$776,4,0)</f>
        <v>999999999</v>
      </c>
      <c r="J68" s="54">
        <f t="shared" si="3"/>
        <v>24</v>
      </c>
      <c r="K68" t="str">
        <f t="shared" si="2"/>
        <v>Sabit</v>
      </c>
    </row>
    <row r="69" spans="1:11" x14ac:dyDescent="0.3">
      <c r="A69" s="9" t="s">
        <v>18</v>
      </c>
      <c r="B69" s="47" t="s">
        <v>131</v>
      </c>
      <c r="C69" s="8" t="s">
        <v>620</v>
      </c>
      <c r="D69" s="8" t="s">
        <v>617</v>
      </c>
      <c r="E69" s="8"/>
      <c r="F69" s="8"/>
      <c r="G69" s="8"/>
      <c r="H69" s="10">
        <v>3.5</v>
      </c>
      <c r="I69" s="54">
        <f>VLOOKUP(A69,İstasyonlar!$A$2:$D$776,4,0)</f>
        <v>1000000</v>
      </c>
      <c r="J69" s="54">
        <f t="shared" si="3"/>
        <v>25</v>
      </c>
      <c r="K69" t="str">
        <f t="shared" si="2"/>
        <v/>
      </c>
    </row>
    <row r="70" spans="1:11" x14ac:dyDescent="0.3">
      <c r="A70" s="9" t="s">
        <v>18</v>
      </c>
      <c r="B70" s="47" t="s">
        <v>132</v>
      </c>
      <c r="C70" s="8" t="s">
        <v>620</v>
      </c>
      <c r="D70" s="8" t="s">
        <v>617</v>
      </c>
      <c r="E70" s="8"/>
      <c r="F70" s="8"/>
      <c r="G70" s="8"/>
      <c r="H70" s="10">
        <v>4.5</v>
      </c>
      <c r="I70" s="54">
        <f>VLOOKUP(A70,İstasyonlar!$A$2:$D$776,4,0)</f>
        <v>1000000</v>
      </c>
      <c r="J70" s="54">
        <f t="shared" si="3"/>
        <v>25</v>
      </c>
      <c r="K70" t="str">
        <f t="shared" si="2"/>
        <v/>
      </c>
    </row>
    <row r="71" spans="1:11" x14ac:dyDescent="0.3">
      <c r="A71" s="9" t="s">
        <v>18</v>
      </c>
      <c r="B71" s="47" t="s">
        <v>133</v>
      </c>
      <c r="C71" s="8" t="s">
        <v>620</v>
      </c>
      <c r="D71" s="8" t="s">
        <v>617</v>
      </c>
      <c r="E71" s="8"/>
      <c r="F71" s="8"/>
      <c r="G71" s="8"/>
      <c r="H71" s="10">
        <v>4.2</v>
      </c>
      <c r="I71" s="54">
        <f>VLOOKUP(A71,İstasyonlar!$A$2:$D$776,4,0)</f>
        <v>1000000</v>
      </c>
      <c r="J71" s="54">
        <f t="shared" si="3"/>
        <v>25</v>
      </c>
      <c r="K71" t="str">
        <f t="shared" si="2"/>
        <v/>
      </c>
    </row>
    <row r="72" spans="1:11" x14ac:dyDescent="0.3">
      <c r="A72" s="9" t="s">
        <v>18</v>
      </c>
      <c r="B72" s="47" t="s">
        <v>134</v>
      </c>
      <c r="C72" s="8" t="s">
        <v>620</v>
      </c>
      <c r="D72" s="8" t="s">
        <v>617</v>
      </c>
      <c r="E72" s="8"/>
      <c r="F72" s="8"/>
      <c r="G72" s="8"/>
      <c r="H72" s="10">
        <v>2.8</v>
      </c>
      <c r="I72" s="54">
        <f>VLOOKUP(A72,İstasyonlar!$A$2:$D$776,4,0)</f>
        <v>1000000</v>
      </c>
      <c r="J72" s="54">
        <f t="shared" si="3"/>
        <v>25</v>
      </c>
      <c r="K72" t="str">
        <f t="shared" si="2"/>
        <v/>
      </c>
    </row>
    <row r="73" spans="1:11" x14ac:dyDescent="0.3">
      <c r="A73" s="9" t="s">
        <v>19</v>
      </c>
      <c r="B73" s="47" t="s">
        <v>135</v>
      </c>
      <c r="C73" s="8" t="s">
        <v>625</v>
      </c>
      <c r="D73" s="8" t="s">
        <v>620</v>
      </c>
      <c r="E73" s="8" t="s">
        <v>617</v>
      </c>
      <c r="F73" s="8"/>
      <c r="G73" s="8"/>
      <c r="H73" s="10">
        <v>3.5</v>
      </c>
      <c r="I73" s="54">
        <f>VLOOKUP(A73,İstasyonlar!$A$2:$D$776,4,0)</f>
        <v>1000000</v>
      </c>
      <c r="J73" s="54">
        <f t="shared" si="3"/>
        <v>26</v>
      </c>
      <c r="K73" t="str">
        <f t="shared" si="2"/>
        <v/>
      </c>
    </row>
    <row r="74" spans="1:11" x14ac:dyDescent="0.3">
      <c r="A74" s="9" t="s">
        <v>19</v>
      </c>
      <c r="B74" s="47" t="s">
        <v>136</v>
      </c>
      <c r="C74" s="8" t="s">
        <v>625</v>
      </c>
      <c r="D74" s="8" t="s">
        <v>620</v>
      </c>
      <c r="E74" s="8" t="s">
        <v>617</v>
      </c>
      <c r="F74" s="8"/>
      <c r="G74" s="8"/>
      <c r="H74" s="10">
        <v>3.8</v>
      </c>
      <c r="I74" s="54">
        <f>VLOOKUP(A74,İstasyonlar!$A$2:$D$776,4,0)</f>
        <v>1000000</v>
      </c>
      <c r="J74" s="54">
        <f t="shared" si="3"/>
        <v>26</v>
      </c>
      <c r="K74" t="str">
        <f t="shared" si="2"/>
        <v/>
      </c>
    </row>
    <row r="75" spans="1:11" x14ac:dyDescent="0.3">
      <c r="A75" s="9" t="s">
        <v>19</v>
      </c>
      <c r="B75" s="47" t="s">
        <v>137</v>
      </c>
      <c r="C75" s="8" t="s">
        <v>625</v>
      </c>
      <c r="D75" s="8" t="s">
        <v>620</v>
      </c>
      <c r="E75" s="8" t="s">
        <v>617</v>
      </c>
      <c r="F75" s="8"/>
      <c r="G75" s="8"/>
      <c r="H75" s="10">
        <v>4.8</v>
      </c>
      <c r="I75" s="54">
        <f>VLOOKUP(A75,İstasyonlar!$A$2:$D$776,4,0)</f>
        <v>1000000</v>
      </c>
      <c r="J75" s="54">
        <f t="shared" si="3"/>
        <v>26</v>
      </c>
      <c r="K75" t="str">
        <f t="shared" si="2"/>
        <v/>
      </c>
    </row>
    <row r="76" spans="1:11" x14ac:dyDescent="0.3">
      <c r="A76" s="9" t="s">
        <v>24</v>
      </c>
      <c r="B76" s="47" t="s">
        <v>138</v>
      </c>
      <c r="C76" s="8" t="s">
        <v>624</v>
      </c>
      <c r="D76" s="8"/>
      <c r="E76" s="8"/>
      <c r="F76" s="8"/>
      <c r="G76" s="8"/>
      <c r="H76" s="10">
        <v>3.1</v>
      </c>
      <c r="I76" s="54">
        <f>VLOOKUP(A76,İstasyonlar!$A$2:$D$776,4,0)</f>
        <v>1000000</v>
      </c>
      <c r="J76" s="54">
        <f t="shared" si="3"/>
        <v>27</v>
      </c>
      <c r="K76" t="str">
        <f t="shared" si="2"/>
        <v/>
      </c>
    </row>
    <row r="77" spans="1:11" x14ac:dyDescent="0.3">
      <c r="A77" s="9" t="s">
        <v>24</v>
      </c>
      <c r="B77" s="47" t="s">
        <v>139</v>
      </c>
      <c r="C77" s="8" t="s">
        <v>624</v>
      </c>
      <c r="D77" s="8"/>
      <c r="E77" s="8"/>
      <c r="F77" s="8"/>
      <c r="G77" s="8"/>
      <c r="H77" s="10">
        <v>3.5</v>
      </c>
      <c r="I77" s="54">
        <f>VLOOKUP(A77,İstasyonlar!$A$2:$D$776,4,0)</f>
        <v>1000000</v>
      </c>
      <c r="J77" s="54">
        <f t="shared" si="3"/>
        <v>27</v>
      </c>
      <c r="K77" t="str">
        <f t="shared" si="2"/>
        <v/>
      </c>
    </row>
    <row r="78" spans="1:11" x14ac:dyDescent="0.3">
      <c r="A78" s="9" t="s">
        <v>24</v>
      </c>
      <c r="B78" s="47" t="s">
        <v>140</v>
      </c>
      <c r="C78" s="8" t="s">
        <v>624</v>
      </c>
      <c r="D78" s="8"/>
      <c r="E78" s="8"/>
      <c r="F78" s="8"/>
      <c r="G78" s="8"/>
      <c r="H78" s="10">
        <v>3.1</v>
      </c>
      <c r="I78" s="54">
        <f>VLOOKUP(A78,İstasyonlar!$A$2:$D$776,4,0)</f>
        <v>1000000</v>
      </c>
      <c r="J78" s="54">
        <f t="shared" si="3"/>
        <v>27</v>
      </c>
      <c r="K78" t="str">
        <f t="shared" si="2"/>
        <v/>
      </c>
    </row>
    <row r="79" spans="1:11" x14ac:dyDescent="0.3">
      <c r="A79" s="9" t="s">
        <v>24</v>
      </c>
      <c r="B79" s="47" t="s">
        <v>369</v>
      </c>
      <c r="C79" s="8" t="s">
        <v>624</v>
      </c>
      <c r="D79" s="8"/>
      <c r="E79" s="8"/>
      <c r="F79" s="8"/>
      <c r="G79" s="8"/>
      <c r="H79" s="10">
        <v>3.1</v>
      </c>
      <c r="I79" s="54">
        <f>VLOOKUP(A79,İstasyonlar!$A$2:$D$776,4,0)</f>
        <v>1000000</v>
      </c>
      <c r="J79" s="54">
        <f t="shared" si="3"/>
        <v>27</v>
      </c>
      <c r="K79" t="str">
        <f t="shared" si="2"/>
        <v/>
      </c>
    </row>
    <row r="80" spans="1:11" x14ac:dyDescent="0.3">
      <c r="A80" s="9" t="s">
        <v>25</v>
      </c>
      <c r="B80" s="47" t="s">
        <v>142</v>
      </c>
      <c r="C80" s="8" t="s">
        <v>626</v>
      </c>
      <c r="D80" s="8"/>
      <c r="E80" s="8"/>
      <c r="F80" s="8"/>
      <c r="G80" s="8"/>
      <c r="H80" s="10">
        <v>6.2</v>
      </c>
      <c r="I80" s="54">
        <f>VLOOKUP(A80,İstasyonlar!$A$2:$D$776,4,0)</f>
        <v>1000000</v>
      </c>
      <c r="J80" s="54">
        <f t="shared" si="3"/>
        <v>28</v>
      </c>
      <c r="K80" t="str">
        <f t="shared" si="2"/>
        <v/>
      </c>
    </row>
    <row r="81" spans="1:11" x14ac:dyDescent="0.3">
      <c r="A81" s="9" t="s">
        <v>25</v>
      </c>
      <c r="B81" s="47" t="s">
        <v>143</v>
      </c>
      <c r="C81" s="8" t="s">
        <v>626</v>
      </c>
      <c r="D81" s="8"/>
      <c r="E81" s="8"/>
      <c r="F81" s="8"/>
      <c r="G81" s="8"/>
      <c r="H81" s="10">
        <v>4.5</v>
      </c>
      <c r="I81" s="54">
        <f>VLOOKUP(A81,İstasyonlar!$A$2:$D$776,4,0)</f>
        <v>1000000</v>
      </c>
      <c r="J81" s="54">
        <f t="shared" si="3"/>
        <v>28</v>
      </c>
      <c r="K81" t="str">
        <f t="shared" si="2"/>
        <v/>
      </c>
    </row>
    <row r="82" spans="1:11" x14ac:dyDescent="0.3">
      <c r="A82" s="9" t="s">
        <v>25</v>
      </c>
      <c r="B82" s="47" t="s">
        <v>144</v>
      </c>
      <c r="C82" s="8" t="s">
        <v>626</v>
      </c>
      <c r="D82" s="8"/>
      <c r="E82" s="8"/>
      <c r="F82" s="8"/>
      <c r="G82" s="8"/>
      <c r="H82" s="10">
        <v>2.5</v>
      </c>
      <c r="I82" s="54">
        <f>VLOOKUP(A82,İstasyonlar!$A$2:$D$776,4,0)</f>
        <v>1000000</v>
      </c>
      <c r="J82" s="54">
        <f t="shared" si="3"/>
        <v>28</v>
      </c>
      <c r="K82" t="str">
        <f t="shared" si="2"/>
        <v/>
      </c>
    </row>
    <row r="83" spans="1:11" x14ac:dyDescent="0.3">
      <c r="A83" s="9" t="s">
        <v>26</v>
      </c>
      <c r="B83" s="47" t="s">
        <v>146</v>
      </c>
      <c r="C83" s="8" t="s">
        <v>627</v>
      </c>
      <c r="D83" s="8" t="s">
        <v>628</v>
      </c>
      <c r="E83" s="8" t="s">
        <v>626</v>
      </c>
      <c r="F83" s="8"/>
      <c r="G83" s="8"/>
      <c r="H83" s="10">
        <v>1</v>
      </c>
      <c r="I83" s="54">
        <f>VLOOKUP(A83,İstasyonlar!$A$2:$D$776,4,0)</f>
        <v>1000000</v>
      </c>
      <c r="J83" s="54">
        <f t="shared" si="3"/>
        <v>29</v>
      </c>
      <c r="K83" t="str">
        <f t="shared" si="2"/>
        <v/>
      </c>
    </row>
    <row r="84" spans="1:11" x14ac:dyDescent="0.3">
      <c r="A84" s="9" t="s">
        <v>26</v>
      </c>
      <c r="B84" s="47" t="s">
        <v>147</v>
      </c>
      <c r="C84" s="8" t="s">
        <v>627</v>
      </c>
      <c r="D84" s="8" t="s">
        <v>628</v>
      </c>
      <c r="E84" s="8" t="s">
        <v>626</v>
      </c>
      <c r="F84" s="8"/>
      <c r="G84" s="8"/>
      <c r="H84" s="10">
        <v>2.4</v>
      </c>
      <c r="I84" s="54">
        <f>VLOOKUP(A84,İstasyonlar!$A$2:$D$776,4,0)</f>
        <v>1000000</v>
      </c>
      <c r="J84" s="54">
        <f t="shared" si="3"/>
        <v>29</v>
      </c>
      <c r="K84" t="str">
        <f t="shared" si="2"/>
        <v/>
      </c>
    </row>
    <row r="85" spans="1:11" x14ac:dyDescent="0.3">
      <c r="A85" s="9" t="s">
        <v>26</v>
      </c>
      <c r="B85" s="47" t="s">
        <v>148</v>
      </c>
      <c r="C85" s="8" t="s">
        <v>627</v>
      </c>
      <c r="D85" s="8" t="s">
        <v>628</v>
      </c>
      <c r="E85" s="8" t="s">
        <v>626</v>
      </c>
      <c r="F85" s="8"/>
      <c r="G85" s="8"/>
      <c r="H85" s="10">
        <v>4.0999999999999996</v>
      </c>
      <c r="I85" s="54">
        <f>VLOOKUP(A85,İstasyonlar!$A$2:$D$776,4,0)</f>
        <v>1000000</v>
      </c>
      <c r="J85" s="54">
        <f t="shared" si="3"/>
        <v>29</v>
      </c>
      <c r="K85" t="str">
        <f t="shared" si="2"/>
        <v/>
      </c>
    </row>
    <row r="86" spans="1:11" x14ac:dyDescent="0.3">
      <c r="A86" s="9" t="s">
        <v>26</v>
      </c>
      <c r="B86" s="47" t="s">
        <v>149</v>
      </c>
      <c r="C86" s="8" t="s">
        <v>627</v>
      </c>
      <c r="D86" s="8" t="s">
        <v>628</v>
      </c>
      <c r="E86" s="8" t="s">
        <v>626</v>
      </c>
      <c r="F86" s="8"/>
      <c r="G86" s="8"/>
      <c r="H86" s="10">
        <v>3.8</v>
      </c>
      <c r="I86" s="54">
        <f>VLOOKUP(A86,İstasyonlar!$A$2:$D$776,4,0)</f>
        <v>1000000</v>
      </c>
      <c r="J86" s="54">
        <f t="shared" si="3"/>
        <v>29</v>
      </c>
      <c r="K86" t="str">
        <f t="shared" si="2"/>
        <v/>
      </c>
    </row>
    <row r="87" spans="1:11" x14ac:dyDescent="0.3">
      <c r="A87" s="9" t="s">
        <v>27</v>
      </c>
      <c r="B87" s="47" t="s">
        <v>150</v>
      </c>
      <c r="C87" s="8" t="s">
        <v>628</v>
      </c>
      <c r="D87" s="8" t="s">
        <v>627</v>
      </c>
      <c r="E87" s="8" t="s">
        <v>623</v>
      </c>
      <c r="F87" s="8" t="s">
        <v>626</v>
      </c>
      <c r="G87" s="8"/>
      <c r="H87" s="10">
        <v>12.5</v>
      </c>
      <c r="I87" s="54">
        <f>VLOOKUP(A87,İstasyonlar!$A$2:$D$776,4,0)</f>
        <v>1000000</v>
      </c>
      <c r="J87" s="54">
        <f t="shared" si="3"/>
        <v>30</v>
      </c>
      <c r="K87" t="str">
        <f t="shared" si="2"/>
        <v/>
      </c>
    </row>
    <row r="88" spans="1:11" x14ac:dyDescent="0.3">
      <c r="A88" s="9" t="s">
        <v>27</v>
      </c>
      <c r="B88" s="47" t="s">
        <v>151</v>
      </c>
      <c r="C88" s="8" t="s">
        <v>628</v>
      </c>
      <c r="D88" s="8" t="s">
        <v>627</v>
      </c>
      <c r="E88" s="8" t="s">
        <v>623</v>
      </c>
      <c r="F88" s="8" t="s">
        <v>626</v>
      </c>
      <c r="G88" s="8"/>
      <c r="H88" s="10">
        <v>6.1</v>
      </c>
      <c r="I88" s="54">
        <f>VLOOKUP(A88,İstasyonlar!$A$2:$D$776,4,0)</f>
        <v>1000000</v>
      </c>
      <c r="J88" s="54">
        <f t="shared" si="3"/>
        <v>30</v>
      </c>
      <c r="K88" t="str">
        <f t="shared" si="2"/>
        <v/>
      </c>
    </row>
    <row r="89" spans="1:11" x14ac:dyDescent="0.3">
      <c r="A89" s="9" t="s">
        <v>28</v>
      </c>
      <c r="B89" s="47" t="s">
        <v>152</v>
      </c>
      <c r="C89" s="8" t="s">
        <v>630</v>
      </c>
      <c r="D89" s="8"/>
      <c r="E89" s="8"/>
      <c r="F89" s="8"/>
      <c r="G89" s="8"/>
      <c r="H89" s="10">
        <v>4.5</v>
      </c>
      <c r="I89" s="54">
        <f>VLOOKUP(A89,İstasyonlar!$A$2:$D$776,4,0)</f>
        <v>1000000</v>
      </c>
      <c r="J89" s="54">
        <f t="shared" si="3"/>
        <v>31</v>
      </c>
      <c r="K89" t="str">
        <f t="shared" si="2"/>
        <v/>
      </c>
    </row>
    <row r="90" spans="1:11" x14ac:dyDescent="0.3">
      <c r="A90" s="9" t="s">
        <v>28</v>
      </c>
      <c r="B90" s="47" t="s">
        <v>153</v>
      </c>
      <c r="C90" s="8" t="s">
        <v>630</v>
      </c>
      <c r="D90" s="8"/>
      <c r="E90" s="8"/>
      <c r="F90" s="8"/>
      <c r="G90" s="8"/>
      <c r="H90" s="10">
        <v>3.5</v>
      </c>
      <c r="I90" s="54">
        <f>VLOOKUP(A90,İstasyonlar!$A$2:$D$776,4,0)</f>
        <v>1000000</v>
      </c>
      <c r="J90" s="54">
        <f t="shared" si="3"/>
        <v>31</v>
      </c>
      <c r="K90" t="str">
        <f t="shared" si="2"/>
        <v/>
      </c>
    </row>
    <row r="91" spans="1:11" x14ac:dyDescent="0.3">
      <c r="A91" s="9" t="s">
        <v>28</v>
      </c>
      <c r="B91" s="47" t="s">
        <v>154</v>
      </c>
      <c r="C91" s="8" t="s">
        <v>630</v>
      </c>
      <c r="D91" s="8"/>
      <c r="E91" s="8"/>
      <c r="F91" s="8"/>
      <c r="G91" s="8"/>
      <c r="H91" s="10">
        <v>3.1</v>
      </c>
      <c r="I91" s="54">
        <f>VLOOKUP(A91,İstasyonlar!$A$2:$D$776,4,0)</f>
        <v>1000000</v>
      </c>
      <c r="J91" s="54">
        <f t="shared" si="3"/>
        <v>31</v>
      </c>
      <c r="K91" t="str">
        <f t="shared" si="2"/>
        <v/>
      </c>
    </row>
    <row r="92" spans="1:11" x14ac:dyDescent="0.3">
      <c r="A92" s="9" t="s">
        <v>28</v>
      </c>
      <c r="B92" s="47" t="s">
        <v>155</v>
      </c>
      <c r="C92" s="8" t="s">
        <v>630</v>
      </c>
      <c r="D92" s="8"/>
      <c r="E92" s="8"/>
      <c r="F92" s="8"/>
      <c r="G92" s="8"/>
      <c r="H92" s="10">
        <v>3.1</v>
      </c>
      <c r="I92" s="54">
        <f>VLOOKUP(A92,İstasyonlar!$A$2:$D$776,4,0)</f>
        <v>1000000</v>
      </c>
      <c r="J92" s="54">
        <f t="shared" si="3"/>
        <v>31</v>
      </c>
      <c r="K92" t="str">
        <f t="shared" si="2"/>
        <v/>
      </c>
    </row>
    <row r="93" spans="1:11" x14ac:dyDescent="0.3">
      <c r="A93" s="9" t="s">
        <v>29</v>
      </c>
      <c r="B93" s="47" t="s">
        <v>156</v>
      </c>
      <c r="C93" s="8" t="s">
        <v>623</v>
      </c>
      <c r="D93" s="8" t="s">
        <v>626</v>
      </c>
      <c r="E93" s="8"/>
      <c r="F93" s="8"/>
      <c r="G93" s="8"/>
      <c r="H93" s="10">
        <v>9.1999999999999993</v>
      </c>
      <c r="I93" s="54">
        <f>VLOOKUP(A93,İstasyonlar!$A$2:$D$776,4,0)</f>
        <v>1000000</v>
      </c>
      <c r="J93" s="54">
        <f t="shared" si="3"/>
        <v>32</v>
      </c>
      <c r="K93" t="str">
        <f t="shared" si="2"/>
        <v/>
      </c>
    </row>
    <row r="94" spans="1:11" x14ac:dyDescent="0.3">
      <c r="A94" s="9" t="s">
        <v>29</v>
      </c>
      <c r="B94" s="47" t="s">
        <v>157</v>
      </c>
      <c r="C94" s="8" t="s">
        <v>623</v>
      </c>
      <c r="D94" s="8" t="s">
        <v>626</v>
      </c>
      <c r="E94" s="8"/>
      <c r="F94" s="8"/>
      <c r="G94" s="8"/>
      <c r="H94" s="10">
        <v>0.6</v>
      </c>
      <c r="I94" s="54">
        <f>VLOOKUP(A94,İstasyonlar!$A$2:$D$776,4,0)</f>
        <v>1000000</v>
      </c>
      <c r="J94" s="54">
        <f t="shared" si="3"/>
        <v>32</v>
      </c>
      <c r="K94" t="str">
        <f t="shared" si="2"/>
        <v/>
      </c>
    </row>
    <row r="95" spans="1:11" x14ac:dyDescent="0.3">
      <c r="A95" s="9" t="s">
        <v>29</v>
      </c>
      <c r="B95" s="47" t="s">
        <v>375</v>
      </c>
      <c r="C95" s="8" t="s">
        <v>623</v>
      </c>
      <c r="D95" s="8" t="s">
        <v>626</v>
      </c>
      <c r="E95" s="8"/>
      <c r="F95" s="8"/>
      <c r="G95" s="8"/>
      <c r="H95" s="10">
        <v>3.1</v>
      </c>
      <c r="I95" s="54">
        <f>VLOOKUP(A95,İstasyonlar!$A$2:$D$776,4,0)</f>
        <v>1000000</v>
      </c>
      <c r="J95" s="54">
        <f t="shared" si="3"/>
        <v>32</v>
      </c>
      <c r="K95" t="str">
        <f t="shared" si="2"/>
        <v/>
      </c>
    </row>
    <row r="96" spans="1:11" x14ac:dyDescent="0.3">
      <c r="A96" s="9" t="s">
        <v>29</v>
      </c>
      <c r="B96" s="47" t="s">
        <v>158</v>
      </c>
      <c r="C96" s="8" t="s">
        <v>623</v>
      </c>
      <c r="D96" s="8" t="s">
        <v>626</v>
      </c>
      <c r="E96" s="8"/>
      <c r="F96" s="8"/>
      <c r="G96" s="8"/>
      <c r="H96" s="10">
        <v>2.8</v>
      </c>
      <c r="I96" s="54">
        <f>VLOOKUP(A96,İstasyonlar!$A$2:$D$776,4,0)</f>
        <v>1000000</v>
      </c>
      <c r="J96" s="54">
        <f t="shared" si="3"/>
        <v>32</v>
      </c>
      <c r="K96" t="str">
        <f t="shared" si="2"/>
        <v/>
      </c>
    </row>
    <row r="97" spans="1:11" x14ac:dyDescent="0.3">
      <c r="A97" s="9" t="s">
        <v>537</v>
      </c>
      <c r="B97" s="47" t="s">
        <v>538</v>
      </c>
      <c r="C97" s="8" t="s">
        <v>723</v>
      </c>
      <c r="D97" s="8"/>
      <c r="E97" s="8"/>
      <c r="F97" s="8"/>
      <c r="G97" s="8"/>
      <c r="H97" s="10">
        <v>9.5</v>
      </c>
      <c r="I97" s="54">
        <f>VLOOKUP(A97,İstasyonlar!$A$2:$D$776,4,0)</f>
        <v>1000000</v>
      </c>
      <c r="J97" s="54">
        <f t="shared" si="3"/>
        <v>33</v>
      </c>
      <c r="K97" t="str">
        <f t="shared" si="2"/>
        <v/>
      </c>
    </row>
    <row r="98" spans="1:11" x14ac:dyDescent="0.3">
      <c r="A98" s="9" t="s">
        <v>57</v>
      </c>
      <c r="B98" s="47" t="s">
        <v>159</v>
      </c>
      <c r="C98" s="8" t="s">
        <v>631</v>
      </c>
      <c r="D98" s="8"/>
      <c r="E98" s="8"/>
      <c r="F98" s="8"/>
      <c r="G98" s="8"/>
      <c r="H98" s="10">
        <v>5.5</v>
      </c>
      <c r="I98" s="54">
        <f>VLOOKUP(A98,İstasyonlar!$A$2:$D$776,4,0)</f>
        <v>1000000</v>
      </c>
      <c r="J98" s="54">
        <f t="shared" si="3"/>
        <v>34</v>
      </c>
      <c r="K98" t="str">
        <f t="shared" si="2"/>
        <v/>
      </c>
    </row>
    <row r="99" spans="1:11" x14ac:dyDescent="0.3">
      <c r="A99" s="9" t="s">
        <v>57</v>
      </c>
      <c r="B99" s="47" t="s">
        <v>160</v>
      </c>
      <c r="C99" s="8" t="s">
        <v>631</v>
      </c>
      <c r="D99" s="8"/>
      <c r="E99" s="8"/>
      <c r="F99" s="8"/>
      <c r="G99" s="8"/>
      <c r="H99" s="10">
        <v>3.1</v>
      </c>
      <c r="I99" s="54">
        <f>VLOOKUP(A99,İstasyonlar!$A$2:$D$776,4,0)</f>
        <v>1000000</v>
      </c>
      <c r="J99" s="54">
        <f t="shared" si="3"/>
        <v>34</v>
      </c>
      <c r="K99" t="str">
        <f t="shared" si="2"/>
        <v/>
      </c>
    </row>
    <row r="100" spans="1:11" x14ac:dyDescent="0.3">
      <c r="A100" s="9" t="s">
        <v>57</v>
      </c>
      <c r="B100" s="47" t="s">
        <v>161</v>
      </c>
      <c r="C100" s="8" t="s">
        <v>631</v>
      </c>
      <c r="D100" s="8"/>
      <c r="E100" s="8"/>
      <c r="F100" s="8"/>
      <c r="G100" s="8"/>
      <c r="H100" s="10">
        <v>3.1</v>
      </c>
      <c r="I100" s="54">
        <f>VLOOKUP(A100,İstasyonlar!$A$2:$D$776,4,0)</f>
        <v>1000000</v>
      </c>
      <c r="J100" s="54">
        <f t="shared" si="3"/>
        <v>34</v>
      </c>
      <c r="K100" t="str">
        <f t="shared" si="2"/>
        <v/>
      </c>
    </row>
    <row r="101" spans="1:11" x14ac:dyDescent="0.3">
      <c r="A101" s="9" t="s">
        <v>57</v>
      </c>
      <c r="B101" s="47" t="s">
        <v>162</v>
      </c>
      <c r="C101" s="8" t="s">
        <v>631</v>
      </c>
      <c r="D101" s="8"/>
      <c r="E101" s="8"/>
      <c r="F101" s="8"/>
      <c r="G101" s="8"/>
      <c r="H101" s="10">
        <v>2.5</v>
      </c>
      <c r="I101" s="54">
        <f>VLOOKUP(A101,İstasyonlar!$A$2:$D$776,4,0)</f>
        <v>1000000</v>
      </c>
      <c r="J101" s="54">
        <f t="shared" si="3"/>
        <v>34</v>
      </c>
      <c r="K101" t="str">
        <f t="shared" si="2"/>
        <v/>
      </c>
    </row>
    <row r="102" spans="1:11" x14ac:dyDescent="0.3">
      <c r="A102" s="9" t="s">
        <v>32</v>
      </c>
      <c r="B102" s="47" t="s">
        <v>163</v>
      </c>
      <c r="C102" s="8" t="s">
        <v>632</v>
      </c>
      <c r="D102" s="8" t="s">
        <v>631</v>
      </c>
      <c r="E102" s="8"/>
      <c r="F102" s="8"/>
      <c r="G102" s="8"/>
      <c r="H102" s="10">
        <v>0.5</v>
      </c>
      <c r="I102" s="54">
        <f>VLOOKUP(A102,İstasyonlar!$A$2:$D$776,4,0)</f>
        <v>1000000</v>
      </c>
      <c r="J102" s="54">
        <f t="shared" si="3"/>
        <v>35</v>
      </c>
      <c r="K102" t="str">
        <f t="shared" si="2"/>
        <v/>
      </c>
    </row>
    <row r="103" spans="1:11" x14ac:dyDescent="0.3">
      <c r="A103" s="9" t="s">
        <v>32</v>
      </c>
      <c r="B103" s="47" t="s">
        <v>164</v>
      </c>
      <c r="C103" s="8" t="s">
        <v>632</v>
      </c>
      <c r="D103" s="8" t="s">
        <v>631</v>
      </c>
      <c r="E103" s="8"/>
      <c r="F103" s="8"/>
      <c r="G103" s="8"/>
      <c r="H103" s="10">
        <v>5.8</v>
      </c>
      <c r="I103" s="54">
        <f>VLOOKUP(A103,İstasyonlar!$A$2:$D$776,4,0)</f>
        <v>1000000</v>
      </c>
      <c r="J103" s="54">
        <f t="shared" si="3"/>
        <v>35</v>
      </c>
      <c r="K103" t="str">
        <f t="shared" si="2"/>
        <v/>
      </c>
    </row>
    <row r="104" spans="1:11" x14ac:dyDescent="0.3">
      <c r="A104" s="9" t="s">
        <v>32</v>
      </c>
      <c r="B104" s="47" t="s">
        <v>165</v>
      </c>
      <c r="C104" s="8" t="s">
        <v>632</v>
      </c>
      <c r="D104" s="8" t="s">
        <v>631</v>
      </c>
      <c r="E104" s="8"/>
      <c r="F104" s="8"/>
      <c r="G104" s="8"/>
      <c r="H104" s="10">
        <v>5.0999999999999996</v>
      </c>
      <c r="I104" s="54">
        <f>VLOOKUP(A104,İstasyonlar!$A$2:$D$776,4,0)</f>
        <v>1000000</v>
      </c>
      <c r="J104" s="54">
        <f t="shared" si="3"/>
        <v>35</v>
      </c>
      <c r="K104" t="str">
        <f t="shared" si="2"/>
        <v/>
      </c>
    </row>
    <row r="105" spans="1:11" x14ac:dyDescent="0.3">
      <c r="A105" s="9" t="s">
        <v>32</v>
      </c>
      <c r="B105" s="47" t="s">
        <v>166</v>
      </c>
      <c r="C105" s="8" t="s">
        <v>632</v>
      </c>
      <c r="D105" s="8" t="s">
        <v>631</v>
      </c>
      <c r="E105" s="8"/>
      <c r="F105" s="8"/>
      <c r="G105" s="8"/>
      <c r="H105" s="10">
        <v>6.8</v>
      </c>
      <c r="I105" s="54">
        <f>VLOOKUP(A105,İstasyonlar!$A$2:$D$776,4,0)</f>
        <v>1000000</v>
      </c>
      <c r="J105" s="54">
        <f t="shared" si="3"/>
        <v>35</v>
      </c>
      <c r="K105" t="str">
        <f t="shared" si="2"/>
        <v/>
      </c>
    </row>
    <row r="106" spans="1:11" x14ac:dyDescent="0.3">
      <c r="A106" s="9" t="s">
        <v>32</v>
      </c>
      <c r="B106" s="47" t="s">
        <v>167</v>
      </c>
      <c r="C106" s="8" t="s">
        <v>632</v>
      </c>
      <c r="D106" s="8" t="s">
        <v>631</v>
      </c>
      <c r="E106" s="8"/>
      <c r="F106" s="8"/>
      <c r="G106" s="8"/>
      <c r="H106" s="10">
        <v>0.5</v>
      </c>
      <c r="I106" s="54">
        <f>VLOOKUP(A106,İstasyonlar!$A$2:$D$776,4,0)</f>
        <v>1000000</v>
      </c>
      <c r="J106" s="54">
        <f t="shared" si="3"/>
        <v>35</v>
      </c>
      <c r="K106" t="str">
        <f t="shared" si="2"/>
        <v/>
      </c>
    </row>
    <row r="107" spans="1:11" x14ac:dyDescent="0.3">
      <c r="A107" s="9" t="s">
        <v>33</v>
      </c>
      <c r="B107" s="47" t="s">
        <v>168</v>
      </c>
      <c r="C107" s="8" t="s">
        <v>635</v>
      </c>
      <c r="D107" s="8"/>
      <c r="E107" s="8"/>
      <c r="F107" s="8"/>
      <c r="G107" s="8"/>
      <c r="H107" s="10">
        <v>3.1</v>
      </c>
      <c r="I107" s="54">
        <f>VLOOKUP(A107,İstasyonlar!$A$2:$D$776,4,0)</f>
        <v>1000000</v>
      </c>
      <c r="J107" s="54">
        <f t="shared" si="3"/>
        <v>36</v>
      </c>
      <c r="K107" t="str">
        <f t="shared" si="2"/>
        <v/>
      </c>
    </row>
    <row r="108" spans="1:11" x14ac:dyDescent="0.3">
      <c r="A108" s="9" t="s">
        <v>33</v>
      </c>
      <c r="B108" s="47" t="s">
        <v>169</v>
      </c>
      <c r="C108" s="8" t="s">
        <v>635</v>
      </c>
      <c r="D108" s="8"/>
      <c r="E108" s="8"/>
      <c r="F108" s="8"/>
      <c r="G108" s="8"/>
      <c r="H108" s="10">
        <v>4.9000000000000004</v>
      </c>
      <c r="I108" s="54">
        <f>VLOOKUP(A108,İstasyonlar!$A$2:$D$776,4,0)</f>
        <v>1000000</v>
      </c>
      <c r="J108" s="54">
        <f t="shared" si="3"/>
        <v>36</v>
      </c>
      <c r="K108" t="str">
        <f t="shared" si="2"/>
        <v/>
      </c>
    </row>
    <row r="109" spans="1:11" x14ac:dyDescent="0.3">
      <c r="A109" s="9" t="s">
        <v>33</v>
      </c>
      <c r="B109" s="47" t="s">
        <v>381</v>
      </c>
      <c r="C109" s="8" t="s">
        <v>635</v>
      </c>
      <c r="D109" s="8"/>
      <c r="E109" s="8"/>
      <c r="F109" s="8"/>
      <c r="G109" s="8"/>
      <c r="H109" s="10">
        <v>5.6</v>
      </c>
      <c r="I109" s="54">
        <f>VLOOKUP(A109,İstasyonlar!$A$2:$D$776,4,0)</f>
        <v>1000000</v>
      </c>
      <c r="J109" s="54">
        <f t="shared" si="3"/>
        <v>36</v>
      </c>
      <c r="K109" t="str">
        <f t="shared" si="2"/>
        <v/>
      </c>
    </row>
    <row r="110" spans="1:11" x14ac:dyDescent="0.3">
      <c r="A110" s="9" t="s">
        <v>284</v>
      </c>
      <c r="B110" s="47" t="s">
        <v>294</v>
      </c>
      <c r="C110" s="8" t="s">
        <v>636</v>
      </c>
      <c r="D110" s="8"/>
      <c r="E110" s="8"/>
      <c r="F110" s="8"/>
      <c r="G110" s="8"/>
      <c r="H110" s="10">
        <v>4.0999999999999996</v>
      </c>
      <c r="I110" s="54">
        <f>VLOOKUP(A110,İstasyonlar!$A$2:$D$776,4,0)</f>
        <v>1000000</v>
      </c>
      <c r="J110" s="54">
        <f t="shared" si="3"/>
        <v>37</v>
      </c>
      <c r="K110" t="str">
        <f t="shared" si="2"/>
        <v/>
      </c>
    </row>
    <row r="111" spans="1:11" x14ac:dyDescent="0.3">
      <c r="A111" s="9" t="s">
        <v>284</v>
      </c>
      <c r="B111" s="47" t="s">
        <v>295</v>
      </c>
      <c r="C111" s="8" t="s">
        <v>636</v>
      </c>
      <c r="D111" s="8"/>
      <c r="E111" s="8"/>
      <c r="F111" s="8"/>
      <c r="G111" s="8"/>
      <c r="H111" s="10">
        <v>3.8</v>
      </c>
      <c r="I111" s="54">
        <f>VLOOKUP(A111,İstasyonlar!$A$2:$D$776,4,0)</f>
        <v>1000000</v>
      </c>
      <c r="J111" s="54">
        <f t="shared" si="3"/>
        <v>37</v>
      </c>
      <c r="K111" t="str">
        <f t="shared" si="2"/>
        <v/>
      </c>
    </row>
    <row r="112" spans="1:11" x14ac:dyDescent="0.3">
      <c r="A112" s="9" t="s">
        <v>284</v>
      </c>
      <c r="B112" s="47" t="s">
        <v>296</v>
      </c>
      <c r="C112" s="8" t="s">
        <v>636</v>
      </c>
      <c r="D112" s="8"/>
      <c r="E112" s="8"/>
      <c r="F112" s="8"/>
      <c r="G112" s="8"/>
      <c r="H112" s="10">
        <v>3.1</v>
      </c>
      <c r="I112" s="54">
        <f>VLOOKUP(A112,İstasyonlar!$A$2:$D$776,4,0)</f>
        <v>1000000</v>
      </c>
      <c r="J112" s="54">
        <f t="shared" si="3"/>
        <v>37</v>
      </c>
      <c r="K112" t="str">
        <f t="shared" si="2"/>
        <v/>
      </c>
    </row>
    <row r="113" spans="1:11" x14ac:dyDescent="0.3">
      <c r="A113" s="9" t="s">
        <v>34</v>
      </c>
      <c r="B113" s="47" t="s">
        <v>171</v>
      </c>
      <c r="C113" s="8" t="s">
        <v>637</v>
      </c>
      <c r="D113" s="8" t="s">
        <v>632</v>
      </c>
      <c r="E113" s="8"/>
      <c r="F113" s="8"/>
      <c r="G113" s="8"/>
      <c r="H113" s="10">
        <v>0.5</v>
      </c>
      <c r="I113" s="54">
        <f>VLOOKUP(A113,İstasyonlar!$A$2:$D$776,4,0)</f>
        <v>1000000</v>
      </c>
      <c r="J113" s="54">
        <f t="shared" si="3"/>
        <v>38</v>
      </c>
      <c r="K113" t="str">
        <f t="shared" si="2"/>
        <v/>
      </c>
    </row>
    <row r="114" spans="1:11" x14ac:dyDescent="0.3">
      <c r="A114" s="9" t="s">
        <v>34</v>
      </c>
      <c r="B114" s="47" t="s">
        <v>172</v>
      </c>
      <c r="C114" s="8" t="s">
        <v>637</v>
      </c>
      <c r="D114" s="8" t="s">
        <v>632</v>
      </c>
      <c r="E114" s="8"/>
      <c r="F114" s="8"/>
      <c r="G114" s="8"/>
      <c r="H114" s="10">
        <v>6.9</v>
      </c>
      <c r="I114" s="54">
        <f>VLOOKUP(A114,İstasyonlar!$A$2:$D$776,4,0)</f>
        <v>1000000</v>
      </c>
      <c r="J114" s="54">
        <f t="shared" si="3"/>
        <v>38</v>
      </c>
      <c r="K114" t="str">
        <f t="shared" si="2"/>
        <v/>
      </c>
    </row>
    <row r="115" spans="1:11" x14ac:dyDescent="0.3">
      <c r="A115" s="9" t="s">
        <v>34</v>
      </c>
      <c r="B115" s="47" t="s">
        <v>173</v>
      </c>
      <c r="C115" s="8" t="s">
        <v>637</v>
      </c>
      <c r="D115" s="8" t="s">
        <v>632</v>
      </c>
      <c r="E115" s="8"/>
      <c r="F115" s="8"/>
      <c r="G115" s="8"/>
      <c r="H115" s="10">
        <v>5.4</v>
      </c>
      <c r="I115" s="54">
        <f>VLOOKUP(A115,İstasyonlar!$A$2:$D$776,4,0)</f>
        <v>1000000</v>
      </c>
      <c r="J115" s="54">
        <f t="shared" si="3"/>
        <v>38</v>
      </c>
      <c r="K115" t="str">
        <f t="shared" si="2"/>
        <v/>
      </c>
    </row>
    <row r="116" spans="1:11" x14ac:dyDescent="0.3">
      <c r="A116" s="9" t="s">
        <v>34</v>
      </c>
      <c r="B116" s="47" t="s">
        <v>174</v>
      </c>
      <c r="C116" s="8" t="s">
        <v>637</v>
      </c>
      <c r="D116" s="8" t="s">
        <v>632</v>
      </c>
      <c r="E116" s="8"/>
      <c r="F116" s="8"/>
      <c r="G116" s="8"/>
      <c r="H116" s="10">
        <v>6.1</v>
      </c>
      <c r="I116" s="54">
        <f>VLOOKUP(A116,İstasyonlar!$A$2:$D$776,4,0)</f>
        <v>1000000</v>
      </c>
      <c r="J116" s="54">
        <f t="shared" si="3"/>
        <v>38</v>
      </c>
      <c r="K116" t="str">
        <f t="shared" si="2"/>
        <v/>
      </c>
    </row>
    <row r="117" spans="1:11" x14ac:dyDescent="0.3">
      <c r="A117" s="9" t="s">
        <v>34</v>
      </c>
      <c r="B117" s="47" t="s">
        <v>175</v>
      </c>
      <c r="C117" s="8" t="s">
        <v>637</v>
      </c>
      <c r="D117" s="8" t="s">
        <v>632</v>
      </c>
      <c r="E117" s="8"/>
      <c r="F117" s="8"/>
      <c r="G117" s="8"/>
      <c r="H117" s="10">
        <v>0.5</v>
      </c>
      <c r="I117" s="54">
        <f>VLOOKUP(A117,İstasyonlar!$A$2:$D$776,4,0)</f>
        <v>1000000</v>
      </c>
      <c r="J117" s="54">
        <f t="shared" si="3"/>
        <v>38</v>
      </c>
      <c r="K117" t="str">
        <f t="shared" si="2"/>
        <v/>
      </c>
    </row>
    <row r="118" spans="1:11" x14ac:dyDescent="0.3">
      <c r="A118" s="9" t="s">
        <v>382</v>
      </c>
      <c r="B118" s="47" t="s">
        <v>471</v>
      </c>
      <c r="C118" s="8" t="s">
        <v>639</v>
      </c>
      <c r="D118" s="8" t="s">
        <v>640</v>
      </c>
      <c r="E118" s="8"/>
      <c r="F118" s="8"/>
      <c r="G118" s="8"/>
      <c r="H118" s="10">
        <v>11.3</v>
      </c>
      <c r="I118" s="54">
        <f>VLOOKUP(A118,İstasyonlar!$A$2:$D$776,4,0)</f>
        <v>999999999</v>
      </c>
      <c r="J118" s="54">
        <f t="shared" si="3"/>
        <v>39</v>
      </c>
      <c r="K118" t="str">
        <f t="shared" si="2"/>
        <v>Sabit</v>
      </c>
    </row>
    <row r="119" spans="1:11" x14ac:dyDescent="0.3">
      <c r="A119" s="9" t="s">
        <v>382</v>
      </c>
      <c r="B119" s="47" t="s">
        <v>472</v>
      </c>
      <c r="C119" s="8" t="s">
        <v>639</v>
      </c>
      <c r="D119" s="8" t="s">
        <v>640</v>
      </c>
      <c r="E119" s="8"/>
      <c r="F119" s="8"/>
      <c r="G119" s="8"/>
      <c r="H119" s="10">
        <v>4.9000000000000004</v>
      </c>
      <c r="I119" s="54">
        <f>VLOOKUP(A119,İstasyonlar!$A$2:$D$776,4,0)</f>
        <v>999999999</v>
      </c>
      <c r="J119" s="54">
        <f t="shared" si="3"/>
        <v>39</v>
      </c>
      <c r="K119" t="str">
        <f t="shared" si="2"/>
        <v>Sabit</v>
      </c>
    </row>
    <row r="120" spans="1:11" x14ac:dyDescent="0.3">
      <c r="A120" s="9" t="s">
        <v>382</v>
      </c>
      <c r="B120" s="47" t="s">
        <v>473</v>
      </c>
      <c r="C120" s="8" t="s">
        <v>639</v>
      </c>
      <c r="D120" s="8" t="s">
        <v>640</v>
      </c>
      <c r="E120" s="8"/>
      <c r="F120" s="8"/>
      <c r="G120" s="8"/>
      <c r="H120" s="10">
        <v>2.1</v>
      </c>
      <c r="I120" s="54">
        <f>VLOOKUP(A120,İstasyonlar!$A$2:$D$776,4,0)</f>
        <v>999999999</v>
      </c>
      <c r="J120" s="54">
        <f t="shared" si="3"/>
        <v>39</v>
      </c>
      <c r="K120" t="str">
        <f t="shared" si="2"/>
        <v>Sabit</v>
      </c>
    </row>
    <row r="121" spans="1:11" x14ac:dyDescent="0.3">
      <c r="A121" s="9" t="s">
        <v>382</v>
      </c>
      <c r="B121" s="47" t="s">
        <v>474</v>
      </c>
      <c r="C121" s="8" t="s">
        <v>639</v>
      </c>
      <c r="D121" s="8" t="s">
        <v>640</v>
      </c>
      <c r="E121" s="8"/>
      <c r="F121" s="8"/>
      <c r="G121" s="8"/>
      <c r="H121" s="10">
        <v>1</v>
      </c>
      <c r="I121" s="54">
        <f>VLOOKUP(A121,İstasyonlar!$A$2:$D$776,4,0)</f>
        <v>999999999</v>
      </c>
      <c r="J121" s="54">
        <f t="shared" si="3"/>
        <v>39</v>
      </c>
      <c r="K121" t="str">
        <f t="shared" si="2"/>
        <v>Sabit</v>
      </c>
    </row>
    <row r="122" spans="1:11" x14ac:dyDescent="0.3">
      <c r="A122" s="9" t="s">
        <v>35</v>
      </c>
      <c r="B122" s="47" t="s">
        <v>176</v>
      </c>
      <c r="C122" s="8" t="s">
        <v>640</v>
      </c>
      <c r="D122" s="8" t="s">
        <v>639</v>
      </c>
      <c r="E122" s="8" t="s">
        <v>644</v>
      </c>
      <c r="F122" s="8"/>
      <c r="G122" s="8"/>
      <c r="H122" s="10">
        <v>0.5</v>
      </c>
      <c r="I122" s="54">
        <f>VLOOKUP(A122,İstasyonlar!$A$2:$D$776,4,0)</f>
        <v>999999999</v>
      </c>
      <c r="J122" s="54">
        <f t="shared" si="3"/>
        <v>40</v>
      </c>
      <c r="K122" t="str">
        <f t="shared" si="2"/>
        <v>Sabit</v>
      </c>
    </row>
    <row r="123" spans="1:11" x14ac:dyDescent="0.3">
      <c r="A123" s="9" t="s">
        <v>35</v>
      </c>
      <c r="B123" s="47" t="s">
        <v>177</v>
      </c>
      <c r="C123" s="8" t="s">
        <v>640</v>
      </c>
      <c r="D123" s="8" t="s">
        <v>639</v>
      </c>
      <c r="E123" s="8" t="s">
        <v>644</v>
      </c>
      <c r="F123" s="8"/>
      <c r="G123" s="8"/>
      <c r="H123" s="10">
        <v>4.2</v>
      </c>
      <c r="I123" s="54">
        <f>VLOOKUP(A123,İstasyonlar!$A$2:$D$776,4,0)</f>
        <v>999999999</v>
      </c>
      <c r="J123" s="54">
        <f t="shared" si="3"/>
        <v>40</v>
      </c>
      <c r="K123" t="str">
        <f t="shared" si="2"/>
        <v>Sabit</v>
      </c>
    </row>
    <row r="124" spans="1:11" x14ac:dyDescent="0.3">
      <c r="A124" s="9" t="s">
        <v>35</v>
      </c>
      <c r="B124" s="47" t="s">
        <v>178</v>
      </c>
      <c r="C124" s="8" t="s">
        <v>640</v>
      </c>
      <c r="D124" s="8" t="s">
        <v>639</v>
      </c>
      <c r="E124" s="8" t="s">
        <v>644</v>
      </c>
      <c r="F124" s="8"/>
      <c r="G124" s="8"/>
      <c r="H124" s="10">
        <v>6.3</v>
      </c>
      <c r="I124" s="54">
        <f>VLOOKUP(A124,İstasyonlar!$A$2:$D$776,4,0)</f>
        <v>999999999</v>
      </c>
      <c r="J124" s="54">
        <f t="shared" si="3"/>
        <v>40</v>
      </c>
      <c r="K124" t="str">
        <f t="shared" si="2"/>
        <v>Sabit</v>
      </c>
    </row>
    <row r="125" spans="1:11" x14ac:dyDescent="0.3">
      <c r="A125" s="9" t="s">
        <v>35</v>
      </c>
      <c r="B125" s="47" t="s">
        <v>179</v>
      </c>
      <c r="C125" s="8" t="s">
        <v>640</v>
      </c>
      <c r="D125" s="8" t="s">
        <v>639</v>
      </c>
      <c r="E125" s="8" t="s">
        <v>644</v>
      </c>
      <c r="F125" s="8"/>
      <c r="G125" s="8"/>
      <c r="H125" s="10">
        <v>6.4</v>
      </c>
      <c r="I125" s="54">
        <f>VLOOKUP(A125,İstasyonlar!$A$2:$D$776,4,0)</f>
        <v>999999999</v>
      </c>
      <c r="J125" s="54">
        <f t="shared" si="3"/>
        <v>40</v>
      </c>
      <c r="K125" t="str">
        <f t="shared" si="2"/>
        <v>Sabit</v>
      </c>
    </row>
    <row r="126" spans="1:11" x14ac:dyDescent="0.3">
      <c r="A126" s="9" t="s">
        <v>35</v>
      </c>
      <c r="B126" s="47" t="s">
        <v>180</v>
      </c>
      <c r="C126" s="8" t="s">
        <v>640</v>
      </c>
      <c r="D126" s="8" t="s">
        <v>639</v>
      </c>
      <c r="E126" s="8" t="s">
        <v>644</v>
      </c>
      <c r="F126" s="8"/>
      <c r="G126" s="8"/>
      <c r="H126" s="10">
        <v>0.5</v>
      </c>
      <c r="I126" s="54">
        <f>VLOOKUP(A126,İstasyonlar!$A$2:$D$776,4,0)</f>
        <v>999999999</v>
      </c>
      <c r="J126" s="54">
        <f t="shared" si="3"/>
        <v>40</v>
      </c>
      <c r="K126" t="str">
        <f t="shared" si="2"/>
        <v>Sabit</v>
      </c>
    </row>
    <row r="127" spans="1:11" x14ac:dyDescent="0.3">
      <c r="A127" s="9" t="s">
        <v>738</v>
      </c>
      <c r="B127" s="47" t="s">
        <v>739</v>
      </c>
      <c r="C127" s="8" t="s">
        <v>646</v>
      </c>
      <c r="D127" s="8" t="s">
        <v>647</v>
      </c>
      <c r="E127" s="8"/>
      <c r="F127" s="8"/>
      <c r="G127" s="8"/>
      <c r="H127" s="10">
        <v>5.0999999999999996</v>
      </c>
      <c r="I127" s="54">
        <f>VLOOKUP(A127,İstasyonlar!$A$2:$D$776,4,0)</f>
        <v>999999999</v>
      </c>
      <c r="J127" s="54">
        <f t="shared" si="3"/>
        <v>41</v>
      </c>
      <c r="K127" t="str">
        <f t="shared" si="2"/>
        <v>Sabit</v>
      </c>
    </row>
    <row r="128" spans="1:11" x14ac:dyDescent="0.3">
      <c r="A128" s="9" t="s">
        <v>738</v>
      </c>
      <c r="B128" s="47" t="s">
        <v>740</v>
      </c>
      <c r="C128" s="8" t="s">
        <v>646</v>
      </c>
      <c r="D128" s="8" t="s">
        <v>647</v>
      </c>
      <c r="E128" s="8"/>
      <c r="F128" s="8"/>
      <c r="G128" s="8"/>
      <c r="H128" s="10">
        <v>3.5</v>
      </c>
      <c r="I128" s="54">
        <f>VLOOKUP(A128,İstasyonlar!$A$2:$D$776,4,0)</f>
        <v>999999999</v>
      </c>
      <c r="J128" s="54">
        <f t="shared" si="3"/>
        <v>41</v>
      </c>
      <c r="K128" t="str">
        <f t="shared" si="2"/>
        <v>Sabit</v>
      </c>
    </row>
    <row r="129" spans="1:11" x14ac:dyDescent="0.3">
      <c r="A129" s="9" t="s">
        <v>738</v>
      </c>
      <c r="B129" s="47" t="s">
        <v>741</v>
      </c>
      <c r="C129" s="8" t="s">
        <v>646</v>
      </c>
      <c r="D129" s="8" t="s">
        <v>647</v>
      </c>
      <c r="E129" s="8"/>
      <c r="F129" s="8"/>
      <c r="G129" s="8"/>
      <c r="H129" s="10">
        <v>2.8</v>
      </c>
      <c r="I129" s="54">
        <f>VLOOKUP(A129,İstasyonlar!$A$2:$D$776,4,0)</f>
        <v>999999999</v>
      </c>
      <c r="J129" s="54">
        <f t="shared" si="3"/>
        <v>41</v>
      </c>
      <c r="K129" t="str">
        <f t="shared" si="2"/>
        <v>Sabit</v>
      </c>
    </row>
    <row r="130" spans="1:11" x14ac:dyDescent="0.3">
      <c r="A130" s="9" t="s">
        <v>738</v>
      </c>
      <c r="B130" s="47" t="s">
        <v>742</v>
      </c>
      <c r="C130" s="8" t="s">
        <v>646</v>
      </c>
      <c r="D130" s="8" t="s">
        <v>647</v>
      </c>
      <c r="E130" s="8"/>
      <c r="F130" s="8"/>
      <c r="G130" s="8"/>
      <c r="H130" s="10">
        <v>1</v>
      </c>
      <c r="I130" s="54">
        <f>VLOOKUP(A130,İstasyonlar!$A$2:$D$776,4,0)</f>
        <v>999999999</v>
      </c>
      <c r="J130" s="54">
        <f t="shared" si="3"/>
        <v>41</v>
      </c>
      <c r="K130" t="str">
        <f t="shared" ref="K130:K193" si="4">IF(I130=1000000,"","Sabit")</f>
        <v>Sabit</v>
      </c>
    </row>
    <row r="131" spans="1:11" x14ac:dyDescent="0.3">
      <c r="A131" s="9" t="s">
        <v>37</v>
      </c>
      <c r="B131" s="47" t="s">
        <v>181</v>
      </c>
      <c r="C131" s="8" t="s">
        <v>644</v>
      </c>
      <c r="D131" s="8" t="s">
        <v>635</v>
      </c>
      <c r="E131" s="8" t="s">
        <v>646</v>
      </c>
      <c r="F131" s="8"/>
      <c r="G131" s="8"/>
      <c r="H131" s="10">
        <v>0.5</v>
      </c>
      <c r="I131" s="54">
        <f>VLOOKUP(A131,İstasyonlar!$A$2:$D$776,4,0)</f>
        <v>1000000</v>
      </c>
      <c r="J131" s="54">
        <f t="shared" ref="J131:J194" si="5">IF(A131=A130, J130, J130+1)</f>
        <v>42</v>
      </c>
      <c r="K131" t="str">
        <f t="shared" si="4"/>
        <v/>
      </c>
    </row>
    <row r="132" spans="1:11" x14ac:dyDescent="0.3">
      <c r="A132" s="9" t="s">
        <v>37</v>
      </c>
      <c r="B132" s="47" t="s">
        <v>182</v>
      </c>
      <c r="C132" s="8" t="s">
        <v>644</v>
      </c>
      <c r="D132" s="8" t="s">
        <v>635</v>
      </c>
      <c r="E132" s="8" t="s">
        <v>646</v>
      </c>
      <c r="F132" s="8"/>
      <c r="G132" s="8"/>
      <c r="H132" s="10">
        <v>2.8</v>
      </c>
      <c r="I132" s="54">
        <f>VLOOKUP(A132,İstasyonlar!$A$2:$D$776,4,0)</f>
        <v>1000000</v>
      </c>
      <c r="J132" s="54">
        <f t="shared" si="5"/>
        <v>42</v>
      </c>
      <c r="K132" t="str">
        <f t="shared" si="4"/>
        <v/>
      </c>
    </row>
    <row r="133" spans="1:11" x14ac:dyDescent="0.3">
      <c r="A133" s="9" t="s">
        <v>37</v>
      </c>
      <c r="B133" s="47" t="s">
        <v>183</v>
      </c>
      <c r="C133" s="8" t="s">
        <v>644</v>
      </c>
      <c r="D133" s="8" t="s">
        <v>635</v>
      </c>
      <c r="E133" s="8" t="s">
        <v>646</v>
      </c>
      <c r="F133" s="8"/>
      <c r="G133" s="8"/>
      <c r="H133" s="10">
        <v>5.5</v>
      </c>
      <c r="I133" s="54">
        <f>VLOOKUP(A133,İstasyonlar!$A$2:$D$776,4,0)</f>
        <v>1000000</v>
      </c>
      <c r="J133" s="54">
        <f t="shared" si="5"/>
        <v>42</v>
      </c>
      <c r="K133" t="str">
        <f t="shared" si="4"/>
        <v/>
      </c>
    </row>
    <row r="134" spans="1:11" x14ac:dyDescent="0.3">
      <c r="A134" s="9" t="s">
        <v>37</v>
      </c>
      <c r="B134" s="47" t="s">
        <v>184</v>
      </c>
      <c r="C134" s="8" t="s">
        <v>644</v>
      </c>
      <c r="D134" s="8" t="s">
        <v>635</v>
      </c>
      <c r="E134" s="8" t="s">
        <v>646</v>
      </c>
      <c r="F134" s="8"/>
      <c r="G134" s="8"/>
      <c r="H134" s="10">
        <v>3.8</v>
      </c>
      <c r="I134" s="54">
        <f>VLOOKUP(A134,İstasyonlar!$A$2:$D$776,4,0)</f>
        <v>1000000</v>
      </c>
      <c r="J134" s="54">
        <f t="shared" si="5"/>
        <v>42</v>
      </c>
      <c r="K134" t="str">
        <f t="shared" si="4"/>
        <v/>
      </c>
    </row>
    <row r="135" spans="1:11" x14ac:dyDescent="0.3">
      <c r="A135" s="9" t="s">
        <v>37</v>
      </c>
      <c r="B135" s="47" t="s">
        <v>185</v>
      </c>
      <c r="C135" s="8" t="s">
        <v>644</v>
      </c>
      <c r="D135" s="8" t="s">
        <v>635</v>
      </c>
      <c r="E135" s="8" t="s">
        <v>646</v>
      </c>
      <c r="F135" s="8"/>
      <c r="G135" s="8"/>
      <c r="H135" s="10">
        <v>0.5</v>
      </c>
      <c r="I135" s="54">
        <f>VLOOKUP(A135,İstasyonlar!$A$2:$D$776,4,0)</f>
        <v>1000000</v>
      </c>
      <c r="J135" s="54">
        <f t="shared" si="5"/>
        <v>42</v>
      </c>
      <c r="K135" t="str">
        <f t="shared" si="4"/>
        <v/>
      </c>
    </row>
    <row r="136" spans="1:11" x14ac:dyDescent="0.3">
      <c r="A136" s="9" t="s">
        <v>58</v>
      </c>
      <c r="B136" s="47" t="s">
        <v>187</v>
      </c>
      <c r="C136" s="8" t="s">
        <v>647</v>
      </c>
      <c r="D136" s="8" t="s">
        <v>646</v>
      </c>
      <c r="E136" s="8"/>
      <c r="F136" s="8"/>
      <c r="G136" s="8"/>
      <c r="H136" s="10">
        <v>5.3</v>
      </c>
      <c r="I136" s="54">
        <f>VLOOKUP(A136,İstasyonlar!$A$2:$D$776,4,0)</f>
        <v>999999999</v>
      </c>
      <c r="J136" s="54">
        <f t="shared" si="5"/>
        <v>43</v>
      </c>
      <c r="K136" t="str">
        <f t="shared" si="4"/>
        <v>Sabit</v>
      </c>
    </row>
    <row r="137" spans="1:11" x14ac:dyDescent="0.3">
      <c r="A137" s="9" t="s">
        <v>58</v>
      </c>
      <c r="B137" s="47" t="s">
        <v>188</v>
      </c>
      <c r="C137" s="8" t="s">
        <v>647</v>
      </c>
      <c r="D137" s="8" t="s">
        <v>646</v>
      </c>
      <c r="E137" s="8"/>
      <c r="F137" s="8"/>
      <c r="G137" s="8"/>
      <c r="H137" s="10">
        <v>2.6</v>
      </c>
      <c r="I137" s="54">
        <f>VLOOKUP(A137,İstasyonlar!$A$2:$D$776,4,0)</f>
        <v>999999999</v>
      </c>
      <c r="J137" s="54">
        <f t="shared" si="5"/>
        <v>43</v>
      </c>
      <c r="K137" t="str">
        <f t="shared" si="4"/>
        <v>Sabit</v>
      </c>
    </row>
    <row r="138" spans="1:11" x14ac:dyDescent="0.3">
      <c r="A138" s="9" t="s">
        <v>58</v>
      </c>
      <c r="B138" s="47" t="s">
        <v>189</v>
      </c>
      <c r="C138" s="8" t="s">
        <v>647</v>
      </c>
      <c r="D138" s="8" t="s">
        <v>646</v>
      </c>
      <c r="E138" s="8"/>
      <c r="F138" s="8"/>
      <c r="G138" s="8"/>
      <c r="H138" s="10">
        <v>0.5</v>
      </c>
      <c r="I138" s="54">
        <f>VLOOKUP(A138,İstasyonlar!$A$2:$D$776,4,0)</f>
        <v>999999999</v>
      </c>
      <c r="J138" s="54">
        <f t="shared" si="5"/>
        <v>43</v>
      </c>
      <c r="K138" t="str">
        <f t="shared" si="4"/>
        <v>Sabit</v>
      </c>
    </row>
    <row r="139" spans="1:11" x14ac:dyDescent="0.3">
      <c r="A139" s="9" t="s">
        <v>36</v>
      </c>
      <c r="B139" s="47" t="s">
        <v>190</v>
      </c>
      <c r="C139" s="8" t="s">
        <v>651</v>
      </c>
      <c r="D139" s="8"/>
      <c r="E139" s="8"/>
      <c r="F139" s="8" t="s">
        <v>644</v>
      </c>
      <c r="G139" s="8"/>
      <c r="H139" s="10">
        <v>4.0999999999999996</v>
      </c>
      <c r="I139" s="54">
        <f>VLOOKUP(A139,İstasyonlar!$A$2:$D$776,4,0)</f>
        <v>1000000</v>
      </c>
      <c r="J139" s="54">
        <f t="shared" si="5"/>
        <v>44</v>
      </c>
      <c r="K139" t="str">
        <f t="shared" si="4"/>
        <v/>
      </c>
    </row>
    <row r="140" spans="1:11" x14ac:dyDescent="0.3">
      <c r="A140" s="9" t="s">
        <v>36</v>
      </c>
      <c r="B140" s="47" t="s">
        <v>191</v>
      </c>
      <c r="C140" s="8" t="s">
        <v>651</v>
      </c>
      <c r="D140" s="8"/>
      <c r="E140" s="8"/>
      <c r="F140" s="8" t="s">
        <v>644</v>
      </c>
      <c r="G140" s="8"/>
      <c r="H140" s="10">
        <v>4.0999999999999996</v>
      </c>
      <c r="I140" s="54">
        <f>VLOOKUP(A140,İstasyonlar!$A$2:$D$776,4,0)</f>
        <v>1000000</v>
      </c>
      <c r="J140" s="54">
        <f t="shared" si="5"/>
        <v>44</v>
      </c>
      <c r="K140" t="str">
        <f t="shared" si="4"/>
        <v/>
      </c>
    </row>
    <row r="141" spans="1:11" x14ac:dyDescent="0.3">
      <c r="A141" s="9" t="s">
        <v>36</v>
      </c>
      <c r="B141" s="47" t="s">
        <v>387</v>
      </c>
      <c r="C141" s="8" t="s">
        <v>651</v>
      </c>
      <c r="D141" s="8"/>
      <c r="E141" s="8"/>
      <c r="F141" s="8" t="s">
        <v>644</v>
      </c>
      <c r="G141" s="8"/>
      <c r="H141" s="10">
        <v>3.1</v>
      </c>
      <c r="I141" s="54">
        <f>VLOOKUP(A141,İstasyonlar!$A$2:$D$776,4,0)</f>
        <v>1000000</v>
      </c>
      <c r="J141" s="54">
        <f t="shared" si="5"/>
        <v>44</v>
      </c>
      <c r="K141" t="str">
        <f t="shared" si="4"/>
        <v/>
      </c>
    </row>
    <row r="142" spans="1:11" x14ac:dyDescent="0.3">
      <c r="A142" s="9" t="s">
        <v>36</v>
      </c>
      <c r="B142" s="47" t="s">
        <v>388</v>
      </c>
      <c r="C142" s="8" t="s">
        <v>651</v>
      </c>
      <c r="D142" s="8"/>
      <c r="E142" s="8"/>
      <c r="F142" s="8" t="s">
        <v>644</v>
      </c>
      <c r="G142" s="8"/>
      <c r="H142" s="10">
        <v>4.5</v>
      </c>
      <c r="I142" s="54">
        <f>VLOOKUP(A142,İstasyonlar!$A$2:$D$776,4,0)</f>
        <v>1000000</v>
      </c>
      <c r="J142" s="54">
        <f t="shared" si="5"/>
        <v>44</v>
      </c>
      <c r="K142" t="str">
        <f t="shared" si="4"/>
        <v/>
      </c>
    </row>
    <row r="143" spans="1:11" x14ac:dyDescent="0.3">
      <c r="A143" s="9" t="s">
        <v>30</v>
      </c>
      <c r="B143" s="47" t="s">
        <v>195</v>
      </c>
      <c r="C143" s="8" t="s">
        <v>652</v>
      </c>
      <c r="D143" s="8" t="s">
        <v>653</v>
      </c>
      <c r="E143" s="8"/>
      <c r="F143" s="8"/>
      <c r="G143" s="8"/>
      <c r="H143" s="10">
        <v>2.6</v>
      </c>
      <c r="I143" s="54">
        <f>VLOOKUP(A143,İstasyonlar!$A$2:$D$776,4,0)</f>
        <v>1000000</v>
      </c>
      <c r="J143" s="54">
        <f t="shared" si="5"/>
        <v>45</v>
      </c>
      <c r="K143" t="str">
        <f t="shared" si="4"/>
        <v/>
      </c>
    </row>
    <row r="144" spans="1:11" x14ac:dyDescent="0.3">
      <c r="A144" s="9" t="s">
        <v>30</v>
      </c>
      <c r="B144" s="47" t="s">
        <v>196</v>
      </c>
      <c r="C144" s="8" t="s">
        <v>652</v>
      </c>
      <c r="D144" s="8" t="s">
        <v>653</v>
      </c>
      <c r="E144" s="8"/>
      <c r="F144" s="8"/>
      <c r="G144" s="8"/>
      <c r="H144" s="10">
        <v>2.6</v>
      </c>
      <c r="I144" s="54">
        <f>VLOOKUP(A144,İstasyonlar!$A$2:$D$776,4,0)</f>
        <v>1000000</v>
      </c>
      <c r="J144" s="54">
        <f t="shared" si="5"/>
        <v>45</v>
      </c>
      <c r="K144" t="str">
        <f t="shared" si="4"/>
        <v/>
      </c>
    </row>
    <row r="145" spans="1:11" x14ac:dyDescent="0.3">
      <c r="A145" s="9" t="s">
        <v>30</v>
      </c>
      <c r="B145" s="47" t="s">
        <v>194</v>
      </c>
      <c r="C145" s="8" t="s">
        <v>652</v>
      </c>
      <c r="D145" s="8" t="s">
        <v>653</v>
      </c>
      <c r="E145" s="8"/>
      <c r="F145" s="8"/>
      <c r="G145" s="8"/>
      <c r="H145" s="10">
        <v>4.2</v>
      </c>
      <c r="I145" s="54">
        <f>VLOOKUP(A145,İstasyonlar!$A$2:$D$776,4,0)</f>
        <v>1000000</v>
      </c>
      <c r="J145" s="54">
        <f t="shared" si="5"/>
        <v>45</v>
      </c>
      <c r="K145" t="str">
        <f t="shared" si="4"/>
        <v/>
      </c>
    </row>
    <row r="146" spans="1:11" x14ac:dyDescent="0.3">
      <c r="A146" s="9" t="s">
        <v>30</v>
      </c>
      <c r="B146" s="47" t="s">
        <v>197</v>
      </c>
      <c r="C146" s="8" t="s">
        <v>652</v>
      </c>
      <c r="D146" s="8" t="s">
        <v>653</v>
      </c>
      <c r="E146" s="8"/>
      <c r="F146" s="8"/>
      <c r="G146" s="8"/>
      <c r="H146" s="10">
        <v>2.8</v>
      </c>
      <c r="I146" s="54">
        <f>VLOOKUP(A146,İstasyonlar!$A$2:$D$776,4,0)</f>
        <v>1000000</v>
      </c>
      <c r="J146" s="54">
        <f t="shared" si="5"/>
        <v>45</v>
      </c>
      <c r="K146" t="str">
        <f t="shared" si="4"/>
        <v/>
      </c>
    </row>
    <row r="147" spans="1:11" x14ac:dyDescent="0.3">
      <c r="A147" s="9" t="s">
        <v>38</v>
      </c>
      <c r="B147" s="47" t="s">
        <v>198</v>
      </c>
      <c r="C147" s="8" t="s">
        <v>653</v>
      </c>
      <c r="D147" s="8" t="s">
        <v>652</v>
      </c>
      <c r="E147" s="8"/>
      <c r="F147" s="8"/>
      <c r="G147" s="8"/>
      <c r="H147" s="10">
        <v>0.5</v>
      </c>
      <c r="I147" s="54">
        <f>VLOOKUP(A147,İstasyonlar!$A$2:$D$776,4,0)</f>
        <v>999999999</v>
      </c>
      <c r="J147" s="54">
        <f t="shared" si="5"/>
        <v>46</v>
      </c>
      <c r="K147" t="str">
        <f t="shared" si="4"/>
        <v>Sabit</v>
      </c>
    </row>
    <row r="148" spans="1:11" x14ac:dyDescent="0.3">
      <c r="A148" s="9" t="s">
        <v>38</v>
      </c>
      <c r="B148" s="47" t="s">
        <v>199</v>
      </c>
      <c r="C148" s="8" t="s">
        <v>653</v>
      </c>
      <c r="D148" s="8" t="s">
        <v>652</v>
      </c>
      <c r="E148" s="8"/>
      <c r="F148" s="8"/>
      <c r="G148" s="8"/>
      <c r="H148" s="10">
        <v>4</v>
      </c>
      <c r="I148" s="54">
        <f>VLOOKUP(A148,İstasyonlar!$A$2:$D$776,4,0)</f>
        <v>999999999</v>
      </c>
      <c r="J148" s="54">
        <f t="shared" si="5"/>
        <v>46</v>
      </c>
      <c r="K148" t="str">
        <f t="shared" si="4"/>
        <v>Sabit</v>
      </c>
    </row>
    <row r="149" spans="1:11" x14ac:dyDescent="0.3">
      <c r="A149" s="9" t="s">
        <v>38</v>
      </c>
      <c r="B149" s="47" t="s">
        <v>200</v>
      </c>
      <c r="C149" s="8" t="s">
        <v>653</v>
      </c>
      <c r="D149" s="8" t="s">
        <v>652</v>
      </c>
      <c r="E149" s="8"/>
      <c r="F149" s="8"/>
      <c r="G149" s="8"/>
      <c r="H149" s="10">
        <v>3.1</v>
      </c>
      <c r="I149" s="54">
        <f>VLOOKUP(A149,İstasyonlar!$A$2:$D$776,4,0)</f>
        <v>999999999</v>
      </c>
      <c r="J149" s="54">
        <f t="shared" si="5"/>
        <v>46</v>
      </c>
      <c r="K149" t="str">
        <f t="shared" si="4"/>
        <v>Sabit</v>
      </c>
    </row>
    <row r="150" spans="1:11" x14ac:dyDescent="0.3">
      <c r="A150" s="9" t="s">
        <v>38</v>
      </c>
      <c r="B150" s="47" t="s">
        <v>201</v>
      </c>
      <c r="C150" s="8" t="s">
        <v>653</v>
      </c>
      <c r="D150" s="8" t="s">
        <v>652</v>
      </c>
      <c r="E150" s="8"/>
      <c r="F150" s="8"/>
      <c r="G150" s="8"/>
      <c r="H150" s="10">
        <v>2.6</v>
      </c>
      <c r="I150" s="54">
        <f>VLOOKUP(A150,İstasyonlar!$A$2:$D$776,4,0)</f>
        <v>999999999</v>
      </c>
      <c r="J150" s="54">
        <f t="shared" si="5"/>
        <v>46</v>
      </c>
      <c r="K150" t="str">
        <f t="shared" si="4"/>
        <v>Sabit</v>
      </c>
    </row>
    <row r="151" spans="1:11" x14ac:dyDescent="0.3">
      <c r="A151" s="9" t="s">
        <v>38</v>
      </c>
      <c r="B151" s="47" t="s">
        <v>202</v>
      </c>
      <c r="C151" s="8" t="s">
        <v>653</v>
      </c>
      <c r="D151" s="8" t="s">
        <v>652</v>
      </c>
      <c r="E151" s="8"/>
      <c r="F151" s="8"/>
      <c r="G151" s="8"/>
      <c r="H151" s="10">
        <v>0.5</v>
      </c>
      <c r="I151" s="54">
        <f>VLOOKUP(A151,İstasyonlar!$A$2:$D$776,4,0)</f>
        <v>999999999</v>
      </c>
      <c r="J151" s="54">
        <f t="shared" si="5"/>
        <v>46</v>
      </c>
      <c r="K151" t="str">
        <f t="shared" si="4"/>
        <v>Sabit</v>
      </c>
    </row>
    <row r="152" spans="1:11" x14ac:dyDescent="0.3">
      <c r="A152" s="9" t="s">
        <v>40</v>
      </c>
      <c r="B152" s="47" t="s">
        <v>203</v>
      </c>
      <c r="C152" s="8" t="s">
        <v>655</v>
      </c>
      <c r="D152" s="8" t="s">
        <v>656</v>
      </c>
      <c r="E152" s="8"/>
      <c r="F152" s="8"/>
      <c r="G152" s="8"/>
      <c r="H152" s="10">
        <v>5.0999999999999996</v>
      </c>
      <c r="I152" s="54">
        <f>VLOOKUP(A152,İstasyonlar!$A$2:$D$776,4,0)</f>
        <v>1000000</v>
      </c>
      <c r="J152" s="54">
        <f t="shared" si="5"/>
        <v>47</v>
      </c>
      <c r="K152" t="str">
        <f t="shared" si="4"/>
        <v/>
      </c>
    </row>
    <row r="153" spans="1:11" x14ac:dyDescent="0.3">
      <c r="A153" s="9" t="s">
        <v>40</v>
      </c>
      <c r="B153" s="47" t="s">
        <v>204</v>
      </c>
      <c r="C153" s="8" t="s">
        <v>655</v>
      </c>
      <c r="D153" s="8" t="s">
        <v>656</v>
      </c>
      <c r="E153" s="8"/>
      <c r="F153" s="8"/>
      <c r="G153" s="8"/>
      <c r="H153" s="10">
        <v>4.0999999999999996</v>
      </c>
      <c r="I153" s="54">
        <f>VLOOKUP(A153,İstasyonlar!$A$2:$D$776,4,0)</f>
        <v>1000000</v>
      </c>
      <c r="J153" s="54">
        <f t="shared" si="5"/>
        <v>47</v>
      </c>
      <c r="K153" t="str">
        <f t="shared" si="4"/>
        <v/>
      </c>
    </row>
    <row r="154" spans="1:11" x14ac:dyDescent="0.3">
      <c r="A154" s="9" t="s">
        <v>40</v>
      </c>
      <c r="B154" s="47" t="s">
        <v>205</v>
      </c>
      <c r="C154" s="8" t="s">
        <v>655</v>
      </c>
      <c r="D154" s="8" t="s">
        <v>656</v>
      </c>
      <c r="E154" s="8"/>
      <c r="F154" s="8"/>
      <c r="G154" s="8"/>
      <c r="H154" s="10">
        <v>4.0999999999999996</v>
      </c>
      <c r="I154" s="54">
        <f>VLOOKUP(A154,İstasyonlar!$A$2:$D$776,4,0)</f>
        <v>1000000</v>
      </c>
      <c r="J154" s="54">
        <f t="shared" si="5"/>
        <v>47</v>
      </c>
      <c r="K154" t="str">
        <f t="shared" si="4"/>
        <v/>
      </c>
    </row>
    <row r="155" spans="1:11" x14ac:dyDescent="0.3">
      <c r="A155" s="9" t="s">
        <v>39</v>
      </c>
      <c r="B155" s="47" t="s">
        <v>206</v>
      </c>
      <c r="C155" s="8" t="s">
        <v>656</v>
      </c>
      <c r="D155" s="8" t="s">
        <v>651</v>
      </c>
      <c r="E155" s="8"/>
      <c r="F155" s="8"/>
      <c r="G155" s="8"/>
      <c r="H155" s="10">
        <v>4.0999999999999996</v>
      </c>
      <c r="I155" s="54">
        <f>VLOOKUP(A155,İstasyonlar!$A$2:$D$776,4,0)</f>
        <v>1000000</v>
      </c>
      <c r="J155" s="54">
        <f t="shared" si="5"/>
        <v>48</v>
      </c>
      <c r="K155" t="str">
        <f t="shared" si="4"/>
        <v/>
      </c>
    </row>
    <row r="156" spans="1:11" x14ac:dyDescent="0.3">
      <c r="A156" s="9" t="s">
        <v>39</v>
      </c>
      <c r="B156" s="47" t="s">
        <v>395</v>
      </c>
      <c r="C156" s="8" t="s">
        <v>656</v>
      </c>
      <c r="D156" s="8" t="s">
        <v>651</v>
      </c>
      <c r="E156" s="8"/>
      <c r="F156" s="8"/>
      <c r="G156" s="8"/>
      <c r="H156" s="10">
        <v>6.3</v>
      </c>
      <c r="I156" s="54">
        <f>VLOOKUP(A156,İstasyonlar!$A$2:$D$776,4,0)</f>
        <v>1000000</v>
      </c>
      <c r="J156" s="54">
        <f t="shared" si="5"/>
        <v>48</v>
      </c>
      <c r="K156" t="str">
        <f t="shared" si="4"/>
        <v/>
      </c>
    </row>
    <row r="157" spans="1:11" x14ac:dyDescent="0.3">
      <c r="A157" s="9" t="s">
        <v>39</v>
      </c>
      <c r="B157" s="47" t="s">
        <v>207</v>
      </c>
      <c r="C157" s="8" t="s">
        <v>656</v>
      </c>
      <c r="D157" s="8" t="s">
        <v>651</v>
      </c>
      <c r="E157" s="8"/>
      <c r="F157" s="8"/>
      <c r="G157" s="8"/>
      <c r="H157" s="10">
        <v>4.5999999999999996</v>
      </c>
      <c r="I157" s="54">
        <f>VLOOKUP(A157,İstasyonlar!$A$2:$D$776,4,0)</f>
        <v>1000000</v>
      </c>
      <c r="J157" s="54">
        <f t="shared" si="5"/>
        <v>48</v>
      </c>
      <c r="K157" t="str">
        <f t="shared" si="4"/>
        <v/>
      </c>
    </row>
    <row r="158" spans="1:11" x14ac:dyDescent="0.3">
      <c r="A158" s="9" t="s">
        <v>39</v>
      </c>
      <c r="B158" s="47" t="s">
        <v>208</v>
      </c>
      <c r="C158" s="8" t="s">
        <v>656</v>
      </c>
      <c r="D158" s="8" t="s">
        <v>651</v>
      </c>
      <c r="E158" s="8"/>
      <c r="F158" s="8"/>
      <c r="G158" s="8"/>
      <c r="H158" s="10">
        <v>6.5</v>
      </c>
      <c r="I158" s="54">
        <f>VLOOKUP(A158,İstasyonlar!$A$2:$D$776,4,0)</f>
        <v>1000000</v>
      </c>
      <c r="J158" s="54">
        <f t="shared" si="5"/>
        <v>48</v>
      </c>
      <c r="K158" t="str">
        <f t="shared" si="4"/>
        <v/>
      </c>
    </row>
    <row r="159" spans="1:11" x14ac:dyDescent="0.3">
      <c r="A159" s="9" t="s">
        <v>41</v>
      </c>
      <c r="B159" s="47" t="s">
        <v>211</v>
      </c>
      <c r="C159" s="8" t="s">
        <v>657</v>
      </c>
      <c r="D159" s="8" t="s">
        <v>658</v>
      </c>
      <c r="E159" s="8"/>
      <c r="F159" s="8"/>
      <c r="G159" s="8"/>
      <c r="H159" s="10">
        <v>0.5</v>
      </c>
      <c r="I159" s="54">
        <f>VLOOKUP(A159,İstasyonlar!$A$2:$D$776,4,0)</f>
        <v>999999999</v>
      </c>
      <c r="J159" s="54">
        <f t="shared" si="5"/>
        <v>49</v>
      </c>
      <c r="K159" t="str">
        <f t="shared" si="4"/>
        <v>Sabit</v>
      </c>
    </row>
    <row r="160" spans="1:11" x14ac:dyDescent="0.3">
      <c r="A160" s="9" t="s">
        <v>41</v>
      </c>
      <c r="B160" s="47" t="s">
        <v>212</v>
      </c>
      <c r="C160" s="8" t="s">
        <v>657</v>
      </c>
      <c r="D160" s="8" t="s">
        <v>658</v>
      </c>
      <c r="E160" s="8"/>
      <c r="F160" s="8"/>
      <c r="G160" s="8"/>
      <c r="H160" s="10">
        <v>12</v>
      </c>
      <c r="I160" s="54">
        <f>VLOOKUP(A160,İstasyonlar!$A$2:$D$776,4,0)</f>
        <v>999999999</v>
      </c>
      <c r="J160" s="54">
        <f t="shared" si="5"/>
        <v>49</v>
      </c>
      <c r="K160" t="str">
        <f t="shared" si="4"/>
        <v>Sabit</v>
      </c>
    </row>
    <row r="161" spans="1:11" x14ac:dyDescent="0.3">
      <c r="A161" s="9" t="s">
        <v>41</v>
      </c>
      <c r="B161" s="47" t="s">
        <v>213</v>
      </c>
      <c r="C161" s="8" t="s">
        <v>657</v>
      </c>
      <c r="D161" s="8" t="s">
        <v>658</v>
      </c>
      <c r="E161" s="8"/>
      <c r="F161" s="8"/>
      <c r="G161" s="8"/>
      <c r="H161" s="10">
        <v>4.0999999999999996</v>
      </c>
      <c r="I161" s="54">
        <f>VLOOKUP(A161,İstasyonlar!$A$2:$D$776,4,0)</f>
        <v>999999999</v>
      </c>
      <c r="J161" s="54">
        <f t="shared" si="5"/>
        <v>49</v>
      </c>
      <c r="K161" t="str">
        <f t="shared" si="4"/>
        <v>Sabit</v>
      </c>
    </row>
    <row r="162" spans="1:11" x14ac:dyDescent="0.3">
      <c r="A162" s="9" t="s">
        <v>41</v>
      </c>
      <c r="B162" s="47" t="s">
        <v>214</v>
      </c>
      <c r="C162" s="8" t="s">
        <v>657</v>
      </c>
      <c r="D162" s="8" t="s">
        <v>658</v>
      </c>
      <c r="E162" s="8"/>
      <c r="F162" s="8"/>
      <c r="G162" s="8"/>
      <c r="H162" s="10">
        <v>0.5</v>
      </c>
      <c r="I162" s="54">
        <f>VLOOKUP(A162,İstasyonlar!$A$2:$D$776,4,0)</f>
        <v>999999999</v>
      </c>
      <c r="J162" s="54">
        <f t="shared" si="5"/>
        <v>49</v>
      </c>
      <c r="K162" t="str">
        <f t="shared" si="4"/>
        <v>Sabit</v>
      </c>
    </row>
    <row r="163" spans="1:11" x14ac:dyDescent="0.3">
      <c r="A163" s="9" t="s">
        <v>42</v>
      </c>
      <c r="B163" s="47" t="s">
        <v>215</v>
      </c>
      <c r="C163" s="8" t="s">
        <v>658</v>
      </c>
      <c r="D163" s="8" t="s">
        <v>657</v>
      </c>
      <c r="E163" s="8"/>
      <c r="F163" s="8"/>
      <c r="G163" s="8"/>
      <c r="H163" s="10">
        <v>0.5</v>
      </c>
      <c r="I163" s="54">
        <f>VLOOKUP(A163,İstasyonlar!$A$2:$D$776,4,0)</f>
        <v>999999999</v>
      </c>
      <c r="J163" s="54">
        <f t="shared" si="5"/>
        <v>50</v>
      </c>
      <c r="K163" t="str">
        <f t="shared" si="4"/>
        <v>Sabit</v>
      </c>
    </row>
    <row r="164" spans="1:11" x14ac:dyDescent="0.3">
      <c r="A164" s="9" t="s">
        <v>42</v>
      </c>
      <c r="B164" s="47" t="s">
        <v>216</v>
      </c>
      <c r="C164" s="8" t="s">
        <v>658</v>
      </c>
      <c r="D164" s="8" t="s">
        <v>657</v>
      </c>
      <c r="E164" s="8"/>
      <c r="F164" s="8"/>
      <c r="G164" s="8"/>
      <c r="H164" s="10">
        <v>12</v>
      </c>
      <c r="I164" s="54">
        <f>VLOOKUP(A164,İstasyonlar!$A$2:$D$776,4,0)</f>
        <v>999999999</v>
      </c>
      <c r="J164" s="54">
        <f t="shared" si="5"/>
        <v>50</v>
      </c>
      <c r="K164" t="str">
        <f t="shared" si="4"/>
        <v>Sabit</v>
      </c>
    </row>
    <row r="165" spans="1:11" x14ac:dyDescent="0.3">
      <c r="A165" s="9" t="s">
        <v>42</v>
      </c>
      <c r="B165" s="47" t="s">
        <v>217</v>
      </c>
      <c r="C165" s="8" t="s">
        <v>658</v>
      </c>
      <c r="D165" s="8" t="s">
        <v>657</v>
      </c>
      <c r="E165" s="8"/>
      <c r="F165" s="8"/>
      <c r="G165" s="8"/>
      <c r="H165" s="10">
        <v>4.0999999999999996</v>
      </c>
      <c r="I165" s="54">
        <f>VLOOKUP(A165,İstasyonlar!$A$2:$D$776,4,0)</f>
        <v>999999999</v>
      </c>
      <c r="J165" s="54">
        <f t="shared" si="5"/>
        <v>50</v>
      </c>
      <c r="K165" t="str">
        <f t="shared" si="4"/>
        <v>Sabit</v>
      </c>
    </row>
    <row r="166" spans="1:11" x14ac:dyDescent="0.3">
      <c r="A166" s="9" t="s">
        <v>42</v>
      </c>
      <c r="B166" s="47" t="s">
        <v>218</v>
      </c>
      <c r="C166" s="8" t="s">
        <v>658</v>
      </c>
      <c r="D166" s="8" t="s">
        <v>657</v>
      </c>
      <c r="E166" s="8"/>
      <c r="F166" s="8"/>
      <c r="G166" s="8"/>
      <c r="H166" s="10">
        <v>0.5</v>
      </c>
      <c r="I166" s="54">
        <f>VLOOKUP(A166,İstasyonlar!$A$2:$D$776,4,0)</f>
        <v>999999999</v>
      </c>
      <c r="J166" s="54">
        <f t="shared" si="5"/>
        <v>50</v>
      </c>
      <c r="K166" t="str">
        <f t="shared" si="4"/>
        <v>Sabit</v>
      </c>
    </row>
    <row r="167" spans="1:11" x14ac:dyDescent="0.3">
      <c r="A167" s="9" t="s">
        <v>43</v>
      </c>
      <c r="B167" s="47" t="s">
        <v>219</v>
      </c>
      <c r="C167" s="8" t="s">
        <v>659</v>
      </c>
      <c r="D167" s="8" t="s">
        <v>660</v>
      </c>
      <c r="E167" s="8"/>
      <c r="F167" s="8"/>
      <c r="G167" s="8"/>
      <c r="H167" s="10">
        <v>5.0999999999999996</v>
      </c>
      <c r="I167" s="54">
        <f>VLOOKUP(A167,İstasyonlar!$A$2:$D$776,4,0)</f>
        <v>1000000</v>
      </c>
      <c r="J167" s="54">
        <f t="shared" si="5"/>
        <v>51</v>
      </c>
      <c r="K167" t="str">
        <f t="shared" si="4"/>
        <v/>
      </c>
    </row>
    <row r="168" spans="1:11" x14ac:dyDescent="0.3">
      <c r="A168" s="9" t="s">
        <v>43</v>
      </c>
      <c r="B168" s="47" t="s">
        <v>220</v>
      </c>
      <c r="C168" s="8" t="s">
        <v>659</v>
      </c>
      <c r="D168" s="8" t="s">
        <v>660</v>
      </c>
      <c r="E168" s="8"/>
      <c r="F168" s="8"/>
      <c r="G168" s="8"/>
      <c r="H168" s="10">
        <v>6</v>
      </c>
      <c r="I168" s="54">
        <f>VLOOKUP(A168,İstasyonlar!$A$2:$D$776,4,0)</f>
        <v>1000000</v>
      </c>
      <c r="J168" s="54">
        <f t="shared" si="5"/>
        <v>51</v>
      </c>
      <c r="K168" t="str">
        <f t="shared" si="4"/>
        <v/>
      </c>
    </row>
    <row r="169" spans="1:11" x14ac:dyDescent="0.3">
      <c r="A169" s="9" t="s">
        <v>43</v>
      </c>
      <c r="B169" s="47" t="s">
        <v>221</v>
      </c>
      <c r="C169" s="8" t="s">
        <v>659</v>
      </c>
      <c r="D169" s="8" t="s">
        <v>660</v>
      </c>
      <c r="E169" s="8"/>
      <c r="F169" s="8"/>
      <c r="G169" s="8"/>
      <c r="H169" s="10">
        <v>3.8</v>
      </c>
      <c r="I169" s="54">
        <f>VLOOKUP(A169,İstasyonlar!$A$2:$D$776,4,0)</f>
        <v>1000000</v>
      </c>
      <c r="J169" s="54">
        <f t="shared" si="5"/>
        <v>51</v>
      </c>
      <c r="K169" t="str">
        <f t="shared" si="4"/>
        <v/>
      </c>
    </row>
    <row r="170" spans="1:11" x14ac:dyDescent="0.3">
      <c r="A170" s="9" t="s">
        <v>31</v>
      </c>
      <c r="B170" s="47" t="s">
        <v>222</v>
      </c>
      <c r="C170" s="8" t="s">
        <v>660</v>
      </c>
      <c r="D170" s="8" t="s">
        <v>659</v>
      </c>
      <c r="E170" s="8"/>
      <c r="F170" s="8"/>
      <c r="G170" s="8"/>
      <c r="H170" s="10">
        <v>8.5</v>
      </c>
      <c r="I170" s="54">
        <f>VLOOKUP(A170,İstasyonlar!$A$2:$D$776,4,0)</f>
        <v>1000000</v>
      </c>
      <c r="J170" s="54">
        <f t="shared" si="5"/>
        <v>52</v>
      </c>
      <c r="K170" t="str">
        <f t="shared" si="4"/>
        <v/>
      </c>
    </row>
    <row r="171" spans="1:11" x14ac:dyDescent="0.3">
      <c r="A171" s="9" t="s">
        <v>31</v>
      </c>
      <c r="B171" s="47" t="s">
        <v>223</v>
      </c>
      <c r="C171" s="8" t="s">
        <v>660</v>
      </c>
      <c r="D171" s="8" t="s">
        <v>659</v>
      </c>
      <c r="E171" s="8"/>
      <c r="F171" s="8"/>
      <c r="G171" s="8"/>
      <c r="H171" s="10">
        <v>2.5</v>
      </c>
      <c r="I171" s="54">
        <f>VLOOKUP(A171,İstasyonlar!$A$2:$D$776,4,0)</f>
        <v>1000000</v>
      </c>
      <c r="J171" s="54">
        <f t="shared" si="5"/>
        <v>52</v>
      </c>
      <c r="K171" t="str">
        <f t="shared" si="4"/>
        <v/>
      </c>
    </row>
    <row r="172" spans="1:11" x14ac:dyDescent="0.3">
      <c r="A172" s="9" t="s">
        <v>31</v>
      </c>
      <c r="B172" s="47" t="s">
        <v>224</v>
      </c>
      <c r="C172" s="8" t="s">
        <v>660</v>
      </c>
      <c r="D172" s="8" t="s">
        <v>659</v>
      </c>
      <c r="E172" s="8"/>
      <c r="F172" s="8"/>
      <c r="G172" s="8"/>
      <c r="H172" s="10">
        <v>2.8</v>
      </c>
      <c r="I172" s="54">
        <f>VLOOKUP(A172,İstasyonlar!$A$2:$D$776,4,0)</f>
        <v>1000000</v>
      </c>
      <c r="J172" s="54">
        <f t="shared" si="5"/>
        <v>52</v>
      </c>
      <c r="K172" t="str">
        <f t="shared" si="4"/>
        <v/>
      </c>
    </row>
    <row r="173" spans="1:11" x14ac:dyDescent="0.3">
      <c r="A173" s="9" t="s">
        <v>44</v>
      </c>
      <c r="B173" s="47" t="s">
        <v>225</v>
      </c>
      <c r="C173" s="8" t="s">
        <v>662</v>
      </c>
      <c r="D173" s="8"/>
      <c r="E173" s="8"/>
      <c r="F173" s="8"/>
      <c r="G173" s="8"/>
      <c r="H173" s="10">
        <v>3.8</v>
      </c>
      <c r="I173" s="54">
        <f>VLOOKUP(A173,İstasyonlar!$A$2:$D$776,4,0)</f>
        <v>999999999</v>
      </c>
      <c r="J173" s="54">
        <f t="shared" si="5"/>
        <v>53</v>
      </c>
      <c r="K173" t="str">
        <f t="shared" si="4"/>
        <v>Sabit</v>
      </c>
    </row>
    <row r="174" spans="1:11" x14ac:dyDescent="0.3">
      <c r="A174" s="9" t="s">
        <v>44</v>
      </c>
      <c r="B174" s="47" t="s">
        <v>226</v>
      </c>
      <c r="C174" s="8" t="s">
        <v>662</v>
      </c>
      <c r="D174" s="8"/>
      <c r="E174" s="8"/>
      <c r="F174" s="8"/>
      <c r="G174" s="8"/>
      <c r="H174" s="10">
        <v>3.5</v>
      </c>
      <c r="I174" s="54">
        <f>VLOOKUP(A174,İstasyonlar!$A$2:$D$776,4,0)</f>
        <v>999999999</v>
      </c>
      <c r="J174" s="54">
        <f t="shared" si="5"/>
        <v>53</v>
      </c>
      <c r="K174" t="str">
        <f t="shared" si="4"/>
        <v>Sabit</v>
      </c>
    </row>
    <row r="175" spans="1:11" x14ac:dyDescent="0.3">
      <c r="A175" s="9" t="s">
        <v>44</v>
      </c>
      <c r="B175" s="47" t="s">
        <v>227</v>
      </c>
      <c r="C175" s="8" t="s">
        <v>662</v>
      </c>
      <c r="D175" s="8"/>
      <c r="E175" s="8"/>
      <c r="F175" s="8"/>
      <c r="G175" s="8"/>
      <c r="H175" s="10">
        <v>3.8</v>
      </c>
      <c r="I175" s="54">
        <f>VLOOKUP(A175,İstasyonlar!$A$2:$D$776,4,0)</f>
        <v>999999999</v>
      </c>
      <c r="J175" s="54">
        <f t="shared" si="5"/>
        <v>53</v>
      </c>
      <c r="K175" t="str">
        <f t="shared" si="4"/>
        <v>Sabit</v>
      </c>
    </row>
    <row r="176" spans="1:11" x14ac:dyDescent="0.3">
      <c r="A176" s="9" t="s">
        <v>285</v>
      </c>
      <c r="B176" s="47" t="s">
        <v>297</v>
      </c>
      <c r="C176" s="8" t="s">
        <v>663</v>
      </c>
      <c r="D176" s="8"/>
      <c r="E176" s="8" t="s">
        <v>629</v>
      </c>
      <c r="F176" s="8"/>
      <c r="G176" s="8"/>
      <c r="H176" s="10">
        <v>0.5</v>
      </c>
      <c r="I176" s="54">
        <f>VLOOKUP(A176,İstasyonlar!$A$2:$D$776,4,0)</f>
        <v>1000000</v>
      </c>
      <c r="J176" s="54">
        <f t="shared" si="5"/>
        <v>54</v>
      </c>
      <c r="K176" t="str">
        <f t="shared" si="4"/>
        <v/>
      </c>
    </row>
    <row r="177" spans="1:11" x14ac:dyDescent="0.3">
      <c r="A177" s="9" t="s">
        <v>285</v>
      </c>
      <c r="B177" s="47" t="s">
        <v>298</v>
      </c>
      <c r="C177" s="8" t="s">
        <v>663</v>
      </c>
      <c r="D177" s="8"/>
      <c r="E177" s="8" t="s">
        <v>629</v>
      </c>
      <c r="F177" s="8"/>
      <c r="G177" s="8"/>
      <c r="H177" s="10">
        <v>3.4</v>
      </c>
      <c r="I177" s="54">
        <f>VLOOKUP(A177,İstasyonlar!$A$2:$D$776,4,0)</f>
        <v>1000000</v>
      </c>
      <c r="J177" s="54">
        <f t="shared" si="5"/>
        <v>54</v>
      </c>
      <c r="K177" t="str">
        <f t="shared" si="4"/>
        <v/>
      </c>
    </row>
    <row r="178" spans="1:11" x14ac:dyDescent="0.3">
      <c r="A178" s="9" t="s">
        <v>285</v>
      </c>
      <c r="B178" s="47" t="s">
        <v>299</v>
      </c>
      <c r="C178" s="8" t="s">
        <v>663</v>
      </c>
      <c r="D178" s="8"/>
      <c r="E178" s="8" t="s">
        <v>629</v>
      </c>
      <c r="F178" s="8"/>
      <c r="G178" s="8"/>
      <c r="H178" s="10">
        <v>2.1</v>
      </c>
      <c r="I178" s="54">
        <f>VLOOKUP(A178,İstasyonlar!$A$2:$D$776,4,0)</f>
        <v>1000000</v>
      </c>
      <c r="J178" s="54">
        <f t="shared" si="5"/>
        <v>54</v>
      </c>
      <c r="K178" t="str">
        <f t="shared" si="4"/>
        <v/>
      </c>
    </row>
    <row r="179" spans="1:11" x14ac:dyDescent="0.3">
      <c r="A179" s="9" t="s">
        <v>285</v>
      </c>
      <c r="B179" s="47" t="s">
        <v>300</v>
      </c>
      <c r="C179" s="8" t="s">
        <v>663</v>
      </c>
      <c r="D179" s="8"/>
      <c r="E179" s="8" t="s">
        <v>629</v>
      </c>
      <c r="F179" s="8"/>
      <c r="G179" s="8"/>
      <c r="H179" s="10">
        <v>7</v>
      </c>
      <c r="I179" s="54">
        <f>VLOOKUP(A179,İstasyonlar!$A$2:$D$776,4,0)</f>
        <v>1000000</v>
      </c>
      <c r="J179" s="54">
        <f t="shared" si="5"/>
        <v>54</v>
      </c>
      <c r="K179" t="str">
        <f t="shared" si="4"/>
        <v/>
      </c>
    </row>
    <row r="180" spans="1:11" x14ac:dyDescent="0.3">
      <c r="A180" s="9" t="s">
        <v>285</v>
      </c>
      <c r="B180" s="47" t="s">
        <v>301</v>
      </c>
      <c r="C180" s="8" t="s">
        <v>663</v>
      </c>
      <c r="D180" s="8"/>
      <c r="E180" s="8" t="s">
        <v>629</v>
      </c>
      <c r="F180" s="8"/>
      <c r="G180" s="8"/>
      <c r="H180" s="10">
        <v>4</v>
      </c>
      <c r="I180" s="54">
        <f>VLOOKUP(A180,İstasyonlar!$A$2:$D$776,4,0)</f>
        <v>1000000</v>
      </c>
      <c r="J180" s="54">
        <f t="shared" si="5"/>
        <v>54</v>
      </c>
      <c r="K180" t="str">
        <f t="shared" si="4"/>
        <v/>
      </c>
    </row>
    <row r="181" spans="1:11" x14ac:dyDescent="0.3">
      <c r="A181" s="9" t="s">
        <v>45</v>
      </c>
      <c r="B181" s="47" t="s">
        <v>228</v>
      </c>
      <c r="C181" s="8" t="s">
        <v>664</v>
      </c>
      <c r="D181" s="8" t="s">
        <v>663</v>
      </c>
      <c r="E181" s="8"/>
      <c r="F181" s="8"/>
      <c r="G181" s="8"/>
      <c r="H181" s="10">
        <v>3.4</v>
      </c>
      <c r="I181" s="54">
        <f>VLOOKUP(A181,İstasyonlar!$A$2:$D$776,4,0)</f>
        <v>1000000</v>
      </c>
      <c r="J181" s="54">
        <f t="shared" si="5"/>
        <v>55</v>
      </c>
      <c r="K181" t="str">
        <f t="shared" si="4"/>
        <v/>
      </c>
    </row>
    <row r="182" spans="1:11" x14ac:dyDescent="0.3">
      <c r="A182" s="9" t="s">
        <v>45</v>
      </c>
      <c r="B182" s="47" t="s">
        <v>229</v>
      </c>
      <c r="C182" s="8" t="s">
        <v>664</v>
      </c>
      <c r="D182" s="8" t="s">
        <v>663</v>
      </c>
      <c r="E182" s="8"/>
      <c r="F182" s="8"/>
      <c r="G182" s="8"/>
      <c r="H182" s="10">
        <v>6.4</v>
      </c>
      <c r="I182" s="54">
        <f>VLOOKUP(A182,İstasyonlar!$A$2:$D$776,4,0)</f>
        <v>1000000</v>
      </c>
      <c r="J182" s="54">
        <f t="shared" si="5"/>
        <v>55</v>
      </c>
      <c r="K182" t="str">
        <f t="shared" si="4"/>
        <v/>
      </c>
    </row>
    <row r="183" spans="1:11" x14ac:dyDescent="0.3">
      <c r="A183" s="9" t="s">
        <v>45</v>
      </c>
      <c r="B183" s="47" t="s">
        <v>230</v>
      </c>
      <c r="C183" s="8" t="s">
        <v>664</v>
      </c>
      <c r="D183" s="8" t="s">
        <v>663</v>
      </c>
      <c r="E183" s="8"/>
      <c r="F183" s="8"/>
      <c r="G183" s="8"/>
      <c r="H183" s="10">
        <v>4.2</v>
      </c>
      <c r="I183" s="54">
        <f>VLOOKUP(A183,İstasyonlar!$A$2:$D$776,4,0)</f>
        <v>1000000</v>
      </c>
      <c r="J183" s="54">
        <f t="shared" si="5"/>
        <v>55</v>
      </c>
      <c r="K183" t="str">
        <f t="shared" si="4"/>
        <v/>
      </c>
    </row>
    <row r="184" spans="1:11" x14ac:dyDescent="0.3">
      <c r="A184" s="9" t="s">
        <v>45</v>
      </c>
      <c r="B184" s="47" t="s">
        <v>231</v>
      </c>
      <c r="C184" s="8" t="s">
        <v>664</v>
      </c>
      <c r="D184" s="8" t="s">
        <v>663</v>
      </c>
      <c r="E184" s="8"/>
      <c r="F184" s="8"/>
      <c r="G184" s="8"/>
      <c r="H184" s="10">
        <v>1.5</v>
      </c>
      <c r="I184" s="54">
        <f>VLOOKUP(A184,İstasyonlar!$A$2:$D$776,4,0)</f>
        <v>1000000</v>
      </c>
      <c r="J184" s="54">
        <f t="shared" si="5"/>
        <v>55</v>
      </c>
      <c r="K184" t="str">
        <f t="shared" si="4"/>
        <v/>
      </c>
    </row>
    <row r="185" spans="1:11" x14ac:dyDescent="0.3">
      <c r="A185" s="9" t="s">
        <v>46</v>
      </c>
      <c r="B185" s="47" t="s">
        <v>232</v>
      </c>
      <c r="C185" s="8" t="s">
        <v>665</v>
      </c>
      <c r="D185" s="8"/>
      <c r="E185" s="8"/>
      <c r="F185" s="8"/>
      <c r="G185" s="8"/>
      <c r="H185" s="10">
        <v>0.5</v>
      </c>
      <c r="I185" s="54">
        <f>VLOOKUP(A185,İstasyonlar!$A$2:$D$776,4,0)</f>
        <v>1000000</v>
      </c>
      <c r="J185" s="54">
        <f t="shared" si="5"/>
        <v>56</v>
      </c>
      <c r="K185" t="str">
        <f t="shared" si="4"/>
        <v/>
      </c>
    </row>
    <row r="186" spans="1:11" x14ac:dyDescent="0.3">
      <c r="A186" s="9" t="s">
        <v>46</v>
      </c>
      <c r="B186" s="47" t="s">
        <v>233</v>
      </c>
      <c r="C186" s="8" t="s">
        <v>665</v>
      </c>
      <c r="D186" s="8"/>
      <c r="E186" s="8"/>
      <c r="F186" s="8"/>
      <c r="G186" s="8"/>
      <c r="H186" s="10">
        <v>3.1</v>
      </c>
      <c r="I186" s="54">
        <f>VLOOKUP(A186,İstasyonlar!$A$2:$D$776,4,0)</f>
        <v>1000000</v>
      </c>
      <c r="J186" s="54">
        <f t="shared" si="5"/>
        <v>56</v>
      </c>
      <c r="K186" t="str">
        <f t="shared" si="4"/>
        <v/>
      </c>
    </row>
    <row r="187" spans="1:11" x14ac:dyDescent="0.3">
      <c r="A187" s="9" t="s">
        <v>46</v>
      </c>
      <c r="B187" s="47" t="s">
        <v>234</v>
      </c>
      <c r="C187" s="8" t="s">
        <v>665</v>
      </c>
      <c r="D187" s="8"/>
      <c r="E187" s="8"/>
      <c r="F187" s="8"/>
      <c r="G187" s="8"/>
      <c r="H187" s="10">
        <v>4.2</v>
      </c>
      <c r="I187" s="54">
        <f>VLOOKUP(A187,İstasyonlar!$A$2:$D$776,4,0)</f>
        <v>1000000</v>
      </c>
      <c r="J187" s="54">
        <f t="shared" si="5"/>
        <v>56</v>
      </c>
      <c r="K187" t="str">
        <f t="shared" si="4"/>
        <v/>
      </c>
    </row>
    <row r="188" spans="1:11" x14ac:dyDescent="0.3">
      <c r="A188" s="9" t="s">
        <v>46</v>
      </c>
      <c r="B188" s="47" t="s">
        <v>235</v>
      </c>
      <c r="C188" s="8" t="s">
        <v>665</v>
      </c>
      <c r="D188" s="8"/>
      <c r="E188" s="8"/>
      <c r="F188" s="8"/>
      <c r="G188" s="8"/>
      <c r="H188" s="10">
        <v>2.1</v>
      </c>
      <c r="I188" s="54">
        <f>VLOOKUP(A188,İstasyonlar!$A$2:$D$776,4,0)</f>
        <v>1000000</v>
      </c>
      <c r="J188" s="54">
        <f t="shared" si="5"/>
        <v>56</v>
      </c>
      <c r="K188" t="str">
        <f t="shared" si="4"/>
        <v/>
      </c>
    </row>
    <row r="189" spans="1:11" x14ac:dyDescent="0.3">
      <c r="A189" s="9" t="s">
        <v>46</v>
      </c>
      <c r="B189" s="47" t="s">
        <v>236</v>
      </c>
      <c r="C189" s="8" t="s">
        <v>665</v>
      </c>
      <c r="D189" s="8"/>
      <c r="E189" s="8"/>
      <c r="F189" s="8"/>
      <c r="G189" s="8"/>
      <c r="H189" s="10">
        <v>0.5</v>
      </c>
      <c r="I189" s="54">
        <f>VLOOKUP(A189,İstasyonlar!$A$2:$D$776,4,0)</f>
        <v>1000000</v>
      </c>
      <c r="J189" s="54">
        <f t="shared" si="5"/>
        <v>56</v>
      </c>
      <c r="K189" t="str">
        <f t="shared" si="4"/>
        <v/>
      </c>
    </row>
    <row r="190" spans="1:11" x14ac:dyDescent="0.3">
      <c r="A190" s="9" t="s">
        <v>46</v>
      </c>
      <c r="B190" s="47" t="s">
        <v>237</v>
      </c>
      <c r="C190" s="8" t="s">
        <v>665</v>
      </c>
      <c r="D190" s="8"/>
      <c r="E190" s="8"/>
      <c r="F190" s="8"/>
      <c r="G190" s="8"/>
      <c r="H190" s="10">
        <v>0.5</v>
      </c>
      <c r="I190" s="54">
        <f>VLOOKUP(A190,İstasyonlar!$A$2:$D$776,4,0)</f>
        <v>1000000</v>
      </c>
      <c r="J190" s="54">
        <f t="shared" si="5"/>
        <v>56</v>
      </c>
      <c r="K190" t="str">
        <f t="shared" si="4"/>
        <v/>
      </c>
    </row>
    <row r="191" spans="1:11" x14ac:dyDescent="0.3">
      <c r="A191" s="9" t="s">
        <v>47</v>
      </c>
      <c r="B191" s="47" t="s">
        <v>238</v>
      </c>
      <c r="C191" s="8" t="s">
        <v>666</v>
      </c>
      <c r="D191" s="8" t="s">
        <v>634</v>
      </c>
      <c r="E191" s="8"/>
      <c r="F191" s="8"/>
      <c r="G191" s="8"/>
      <c r="H191" s="10">
        <v>1.5</v>
      </c>
      <c r="I191" s="54">
        <f>VLOOKUP(A191,İstasyonlar!$A$2:$D$776,4,0)</f>
        <v>999999999</v>
      </c>
      <c r="J191" s="54">
        <f t="shared" si="5"/>
        <v>57</v>
      </c>
      <c r="K191" t="str">
        <f t="shared" si="4"/>
        <v>Sabit</v>
      </c>
    </row>
    <row r="192" spans="1:11" x14ac:dyDescent="0.3">
      <c r="A192" s="9" t="s">
        <v>47</v>
      </c>
      <c r="B192" s="47" t="s">
        <v>239</v>
      </c>
      <c r="C192" s="8" t="s">
        <v>666</v>
      </c>
      <c r="D192" s="8" t="s">
        <v>634</v>
      </c>
      <c r="E192" s="8"/>
      <c r="F192" s="8"/>
      <c r="G192" s="8"/>
      <c r="H192" s="10">
        <v>4.3</v>
      </c>
      <c r="I192" s="54">
        <f>VLOOKUP(A192,İstasyonlar!$A$2:$D$776,4,0)</f>
        <v>999999999</v>
      </c>
      <c r="J192" s="54">
        <f t="shared" si="5"/>
        <v>57</v>
      </c>
      <c r="K192" t="str">
        <f t="shared" si="4"/>
        <v>Sabit</v>
      </c>
    </row>
    <row r="193" spans="1:11" x14ac:dyDescent="0.3">
      <c r="A193" s="9" t="s">
        <v>47</v>
      </c>
      <c r="B193" s="47" t="s">
        <v>240</v>
      </c>
      <c r="C193" s="8" t="s">
        <v>666</v>
      </c>
      <c r="D193" s="8" t="s">
        <v>634</v>
      </c>
      <c r="E193" s="8"/>
      <c r="F193" s="8"/>
      <c r="G193" s="8"/>
      <c r="H193" s="10">
        <v>4.5</v>
      </c>
      <c r="I193" s="54">
        <f>VLOOKUP(A193,İstasyonlar!$A$2:$D$776,4,0)</f>
        <v>999999999</v>
      </c>
      <c r="J193" s="54">
        <f t="shared" si="5"/>
        <v>57</v>
      </c>
      <c r="K193" t="str">
        <f t="shared" si="4"/>
        <v>Sabit</v>
      </c>
    </row>
    <row r="194" spans="1:11" x14ac:dyDescent="0.3">
      <c r="A194" s="9" t="s">
        <v>47</v>
      </c>
      <c r="B194" s="47" t="s">
        <v>241</v>
      </c>
      <c r="C194" s="8" t="s">
        <v>666</v>
      </c>
      <c r="D194" s="8" t="s">
        <v>634</v>
      </c>
      <c r="E194" s="8"/>
      <c r="F194" s="8"/>
      <c r="G194" s="8"/>
      <c r="H194" s="10">
        <v>2.8</v>
      </c>
      <c r="I194" s="54">
        <f>VLOOKUP(A194,İstasyonlar!$A$2:$D$776,4,0)</f>
        <v>999999999</v>
      </c>
      <c r="J194" s="54">
        <f t="shared" si="5"/>
        <v>57</v>
      </c>
      <c r="K194" t="str">
        <f t="shared" ref="K194:K257" si="6">IF(I194=1000000,"","Sabit")</f>
        <v>Sabit</v>
      </c>
    </row>
    <row r="195" spans="1:11" x14ac:dyDescent="0.3">
      <c r="A195" s="9" t="s">
        <v>47</v>
      </c>
      <c r="B195" s="47" t="s">
        <v>242</v>
      </c>
      <c r="C195" s="8" t="s">
        <v>666</v>
      </c>
      <c r="D195" s="8" t="s">
        <v>634</v>
      </c>
      <c r="E195" s="8"/>
      <c r="F195" s="8"/>
      <c r="G195" s="8"/>
      <c r="H195" s="10">
        <v>6.4</v>
      </c>
      <c r="I195" s="54">
        <f>VLOOKUP(A195,İstasyonlar!$A$2:$D$776,4,0)</f>
        <v>999999999</v>
      </c>
      <c r="J195" s="54">
        <f t="shared" ref="J195:J258" si="7">IF(A195=A194, J194, J194+1)</f>
        <v>57</v>
      </c>
      <c r="K195" t="str">
        <f t="shared" si="6"/>
        <v>Sabit</v>
      </c>
    </row>
    <row r="196" spans="1:11" x14ac:dyDescent="0.3">
      <c r="A196" s="9" t="s">
        <v>403</v>
      </c>
      <c r="B196" s="47" t="s">
        <v>732</v>
      </c>
      <c r="C196" s="8" t="s">
        <v>634</v>
      </c>
      <c r="D196" s="8" t="s">
        <v>668</v>
      </c>
      <c r="E196" s="8"/>
      <c r="F196" s="8"/>
      <c r="G196" s="8"/>
      <c r="H196" s="10">
        <v>5</v>
      </c>
      <c r="I196" s="54">
        <f>VLOOKUP(A196,İstasyonlar!$A$2:$D$776,4,0)</f>
        <v>999999999</v>
      </c>
      <c r="J196" s="54">
        <f t="shared" si="7"/>
        <v>58</v>
      </c>
      <c r="K196" t="str">
        <f t="shared" si="6"/>
        <v>Sabit</v>
      </c>
    </row>
    <row r="197" spans="1:11" x14ac:dyDescent="0.3">
      <c r="A197" s="9" t="s">
        <v>403</v>
      </c>
      <c r="B197" s="47" t="s">
        <v>733</v>
      </c>
      <c r="C197" s="8" t="s">
        <v>634</v>
      </c>
      <c r="D197" s="8" t="s">
        <v>668</v>
      </c>
      <c r="E197" s="8"/>
      <c r="F197" s="8"/>
      <c r="G197" s="8"/>
      <c r="H197" s="10">
        <v>0.8</v>
      </c>
      <c r="I197" s="54">
        <f>VLOOKUP(A197,İstasyonlar!$A$2:$D$776,4,0)</f>
        <v>999999999</v>
      </c>
      <c r="J197" s="54">
        <f t="shared" si="7"/>
        <v>58</v>
      </c>
      <c r="K197" t="str">
        <f t="shared" si="6"/>
        <v>Sabit</v>
      </c>
    </row>
    <row r="198" spans="1:11" x14ac:dyDescent="0.3">
      <c r="A198" s="9" t="s">
        <v>403</v>
      </c>
      <c r="B198" s="47" t="s">
        <v>734</v>
      </c>
      <c r="C198" s="8" t="s">
        <v>634</v>
      </c>
      <c r="D198" s="8" t="s">
        <v>668</v>
      </c>
      <c r="E198" s="8"/>
      <c r="F198" s="8"/>
      <c r="G198" s="8"/>
      <c r="H198" s="10">
        <v>1.5</v>
      </c>
      <c r="I198" s="54">
        <f>VLOOKUP(A198,İstasyonlar!$A$2:$D$776,4,0)</f>
        <v>999999999</v>
      </c>
      <c r="J198" s="54">
        <f t="shared" si="7"/>
        <v>58</v>
      </c>
      <c r="K198" t="str">
        <f t="shared" si="6"/>
        <v>Sabit</v>
      </c>
    </row>
    <row r="199" spans="1:11" x14ac:dyDescent="0.3">
      <c r="A199" s="9" t="s">
        <v>403</v>
      </c>
      <c r="B199" s="47" t="s">
        <v>735</v>
      </c>
      <c r="C199" s="8" t="s">
        <v>634</v>
      </c>
      <c r="D199" s="8" t="s">
        <v>668</v>
      </c>
      <c r="E199" s="8"/>
      <c r="F199" s="8"/>
      <c r="G199" s="8"/>
      <c r="H199" s="10">
        <v>2.1</v>
      </c>
      <c r="I199" s="54">
        <f>VLOOKUP(A199,İstasyonlar!$A$2:$D$776,4,0)</f>
        <v>999999999</v>
      </c>
      <c r="J199" s="54">
        <f t="shared" si="7"/>
        <v>58</v>
      </c>
      <c r="K199" t="str">
        <f t="shared" si="6"/>
        <v>Sabit</v>
      </c>
    </row>
    <row r="200" spans="1:11" x14ac:dyDescent="0.3">
      <c r="A200" s="9" t="s">
        <v>403</v>
      </c>
      <c r="B200" s="47" t="s">
        <v>736</v>
      </c>
      <c r="C200" s="8" t="s">
        <v>634</v>
      </c>
      <c r="D200" s="8" t="s">
        <v>668</v>
      </c>
      <c r="E200" s="8"/>
      <c r="F200" s="8"/>
      <c r="G200" s="8"/>
      <c r="H200" s="10">
        <v>1</v>
      </c>
      <c r="I200" s="54">
        <f>VLOOKUP(A200,İstasyonlar!$A$2:$D$776,4,0)</f>
        <v>999999999</v>
      </c>
      <c r="J200" s="54">
        <f t="shared" si="7"/>
        <v>58</v>
      </c>
      <c r="K200" t="str">
        <f t="shared" si="6"/>
        <v>Sabit</v>
      </c>
    </row>
    <row r="201" spans="1:11" x14ac:dyDescent="0.3">
      <c r="A201" s="9" t="s">
        <v>403</v>
      </c>
      <c r="B201" s="47" t="s">
        <v>737</v>
      </c>
      <c r="C201" s="8" t="s">
        <v>634</v>
      </c>
      <c r="D201" s="8" t="s">
        <v>668</v>
      </c>
      <c r="E201" s="8"/>
      <c r="F201" s="8"/>
      <c r="G201" s="8"/>
      <c r="H201" s="10">
        <v>2.1</v>
      </c>
      <c r="I201" s="54">
        <f>VLOOKUP(A201,İstasyonlar!$A$2:$D$776,4,0)</f>
        <v>999999999</v>
      </c>
      <c r="J201" s="54">
        <f t="shared" si="7"/>
        <v>58</v>
      </c>
      <c r="K201" t="str">
        <f t="shared" si="6"/>
        <v>Sabit</v>
      </c>
    </row>
    <row r="202" spans="1:11" x14ac:dyDescent="0.3">
      <c r="A202" s="9" t="s">
        <v>48</v>
      </c>
      <c r="B202" s="47" t="s">
        <v>304</v>
      </c>
      <c r="C202" s="8" t="s">
        <v>674</v>
      </c>
      <c r="D202" s="8" t="s">
        <v>666</v>
      </c>
      <c r="E202" s="8"/>
      <c r="F202" s="8"/>
      <c r="G202" s="8"/>
      <c r="H202" s="10">
        <v>2.6</v>
      </c>
      <c r="I202" s="54">
        <f>VLOOKUP(A202,İstasyonlar!$A$2:$D$776,4,0)</f>
        <v>1000000</v>
      </c>
      <c r="J202" s="54">
        <f t="shared" si="7"/>
        <v>59</v>
      </c>
      <c r="K202" t="str">
        <f t="shared" si="6"/>
        <v/>
      </c>
    </row>
    <row r="203" spans="1:11" x14ac:dyDescent="0.3">
      <c r="A203" s="9" t="s">
        <v>48</v>
      </c>
      <c r="B203" s="47" t="s">
        <v>305</v>
      </c>
      <c r="C203" s="8" t="s">
        <v>674</v>
      </c>
      <c r="D203" s="8" t="s">
        <v>666</v>
      </c>
      <c r="E203" s="8"/>
      <c r="F203" s="8"/>
      <c r="G203" s="8"/>
      <c r="H203" s="10">
        <v>2.6</v>
      </c>
      <c r="I203" s="54">
        <f>VLOOKUP(A203,İstasyonlar!$A$2:$D$776,4,0)</f>
        <v>1000000</v>
      </c>
      <c r="J203" s="54">
        <f t="shared" si="7"/>
        <v>59</v>
      </c>
      <c r="K203" t="str">
        <f t="shared" si="6"/>
        <v/>
      </c>
    </row>
    <row r="204" spans="1:11" x14ac:dyDescent="0.3">
      <c r="A204" s="9" t="s">
        <v>48</v>
      </c>
      <c r="B204" s="47" t="s">
        <v>306</v>
      </c>
      <c r="C204" s="8" t="s">
        <v>674</v>
      </c>
      <c r="D204" s="8" t="s">
        <v>666</v>
      </c>
      <c r="E204" s="8"/>
      <c r="F204" s="8"/>
      <c r="G204" s="8"/>
      <c r="H204" s="10">
        <v>3.8</v>
      </c>
      <c r="I204" s="54">
        <f>VLOOKUP(A204,İstasyonlar!$A$2:$D$776,4,0)</f>
        <v>1000000</v>
      </c>
      <c r="J204" s="54">
        <f t="shared" si="7"/>
        <v>59</v>
      </c>
      <c r="K204" t="str">
        <f t="shared" si="6"/>
        <v/>
      </c>
    </row>
    <row r="205" spans="1:11" x14ac:dyDescent="0.3">
      <c r="A205" s="9" t="s">
        <v>48</v>
      </c>
      <c r="B205" s="47" t="s">
        <v>307</v>
      </c>
      <c r="C205" s="8" t="s">
        <v>674</v>
      </c>
      <c r="D205" s="8" t="s">
        <v>666</v>
      </c>
      <c r="E205" s="8"/>
      <c r="F205" s="8"/>
      <c r="G205" s="8"/>
      <c r="H205" s="10">
        <v>4</v>
      </c>
      <c r="I205" s="54">
        <f>VLOOKUP(A205,İstasyonlar!$A$2:$D$776,4,0)</f>
        <v>1000000</v>
      </c>
      <c r="J205" s="54">
        <f t="shared" si="7"/>
        <v>59</v>
      </c>
      <c r="K205" t="str">
        <f t="shared" si="6"/>
        <v/>
      </c>
    </row>
    <row r="206" spans="1:11" x14ac:dyDescent="0.3">
      <c r="A206" s="9" t="s">
        <v>48</v>
      </c>
      <c r="B206" s="47" t="s">
        <v>308</v>
      </c>
      <c r="C206" s="8" t="s">
        <v>674</v>
      </c>
      <c r="D206" s="8" t="s">
        <v>666</v>
      </c>
      <c r="E206" s="8"/>
      <c r="F206" s="8"/>
      <c r="G206" s="8"/>
      <c r="H206" s="10">
        <v>4</v>
      </c>
      <c r="I206" s="54">
        <f>VLOOKUP(A206,İstasyonlar!$A$2:$D$776,4,0)</f>
        <v>1000000</v>
      </c>
      <c r="J206" s="54">
        <f t="shared" si="7"/>
        <v>59</v>
      </c>
      <c r="K206" t="str">
        <f t="shared" si="6"/>
        <v/>
      </c>
    </row>
    <row r="207" spans="1:11" x14ac:dyDescent="0.3">
      <c r="A207" s="9" t="s">
        <v>48</v>
      </c>
      <c r="B207" s="47" t="s">
        <v>309</v>
      </c>
      <c r="C207" s="8" t="s">
        <v>674</v>
      </c>
      <c r="D207" s="8" t="s">
        <v>666</v>
      </c>
      <c r="E207" s="8"/>
      <c r="F207" s="8"/>
      <c r="G207" s="8"/>
      <c r="H207" s="10">
        <v>4</v>
      </c>
      <c r="I207" s="54">
        <f>VLOOKUP(A207,İstasyonlar!$A$2:$D$776,4,0)</f>
        <v>1000000</v>
      </c>
      <c r="J207" s="54">
        <f t="shared" si="7"/>
        <v>59</v>
      </c>
      <c r="K207" t="str">
        <f t="shared" si="6"/>
        <v/>
      </c>
    </row>
    <row r="208" spans="1:11" x14ac:dyDescent="0.3">
      <c r="A208" s="9" t="s">
        <v>49</v>
      </c>
      <c r="B208" s="47" t="s">
        <v>243</v>
      </c>
      <c r="C208" s="8" t="s">
        <v>675</v>
      </c>
      <c r="D208" s="8" t="s">
        <v>629</v>
      </c>
      <c r="E208" s="8" t="s">
        <v>662</v>
      </c>
      <c r="F208" s="8"/>
      <c r="G208" s="8"/>
      <c r="H208" s="10">
        <v>3.1</v>
      </c>
      <c r="I208" s="54">
        <f>VLOOKUP(A208,İstasyonlar!$A$2:$D$776,4,0)</f>
        <v>1000000</v>
      </c>
      <c r="J208" s="54">
        <f t="shared" si="7"/>
        <v>60</v>
      </c>
      <c r="K208" t="str">
        <f t="shared" si="6"/>
        <v/>
      </c>
    </row>
    <row r="209" spans="1:11" x14ac:dyDescent="0.3">
      <c r="A209" s="9" t="s">
        <v>49</v>
      </c>
      <c r="B209" s="47" t="s">
        <v>244</v>
      </c>
      <c r="C209" s="8" t="s">
        <v>675</v>
      </c>
      <c r="D209" s="8" t="s">
        <v>629</v>
      </c>
      <c r="E209" s="8" t="s">
        <v>662</v>
      </c>
      <c r="F209" s="8"/>
      <c r="G209" s="8"/>
      <c r="H209" s="10">
        <v>2.9</v>
      </c>
      <c r="I209" s="54">
        <f>VLOOKUP(A209,İstasyonlar!$A$2:$D$776,4,0)</f>
        <v>1000000</v>
      </c>
      <c r="J209" s="54">
        <f t="shared" si="7"/>
        <v>60</v>
      </c>
      <c r="K209" t="str">
        <f t="shared" si="6"/>
        <v/>
      </c>
    </row>
    <row r="210" spans="1:11" x14ac:dyDescent="0.3">
      <c r="A210" s="9" t="s">
        <v>49</v>
      </c>
      <c r="B210" s="47" t="s">
        <v>245</v>
      </c>
      <c r="C210" s="8" t="s">
        <v>675</v>
      </c>
      <c r="D210" s="8" t="s">
        <v>629</v>
      </c>
      <c r="E210" s="8" t="s">
        <v>662</v>
      </c>
      <c r="F210" s="8"/>
      <c r="G210" s="8"/>
      <c r="H210" s="10">
        <v>7.2</v>
      </c>
      <c r="I210" s="54">
        <f>VLOOKUP(A210,İstasyonlar!$A$2:$D$776,4,0)</f>
        <v>1000000</v>
      </c>
      <c r="J210" s="54">
        <f t="shared" si="7"/>
        <v>60</v>
      </c>
      <c r="K210" t="str">
        <f t="shared" si="6"/>
        <v/>
      </c>
    </row>
    <row r="211" spans="1:11" x14ac:dyDescent="0.3">
      <c r="A211" s="9" t="s">
        <v>49</v>
      </c>
      <c r="B211" s="47" t="s">
        <v>246</v>
      </c>
      <c r="C211" s="8" t="s">
        <v>675</v>
      </c>
      <c r="D211" s="8" t="s">
        <v>629</v>
      </c>
      <c r="E211" s="8" t="s">
        <v>662</v>
      </c>
      <c r="F211" s="8"/>
      <c r="G211" s="8"/>
      <c r="H211" s="10">
        <v>0.5</v>
      </c>
      <c r="I211" s="54">
        <f>VLOOKUP(A211,İstasyonlar!$A$2:$D$776,4,0)</f>
        <v>1000000</v>
      </c>
      <c r="J211" s="54">
        <f t="shared" si="7"/>
        <v>60</v>
      </c>
      <c r="K211" t="str">
        <f t="shared" si="6"/>
        <v/>
      </c>
    </row>
    <row r="212" spans="1:11" x14ac:dyDescent="0.3">
      <c r="A212" s="9" t="s">
        <v>50</v>
      </c>
      <c r="B212" s="47" t="s">
        <v>247</v>
      </c>
      <c r="C212" s="8" t="s">
        <v>744</v>
      </c>
      <c r="D212" s="8" t="s">
        <v>675</v>
      </c>
      <c r="E212" s="8" t="s">
        <v>664</v>
      </c>
      <c r="F212" s="8"/>
      <c r="G212" s="8"/>
      <c r="H212" s="10">
        <v>3.7</v>
      </c>
      <c r="I212" s="54">
        <f>VLOOKUP(A212,İstasyonlar!$A$2:$D$776,4,0)</f>
        <v>1000000</v>
      </c>
      <c r="J212" s="54">
        <f t="shared" si="7"/>
        <v>61</v>
      </c>
      <c r="K212" t="str">
        <f t="shared" si="6"/>
        <v/>
      </c>
    </row>
    <row r="213" spans="1:11" x14ac:dyDescent="0.3">
      <c r="A213" s="9" t="s">
        <v>50</v>
      </c>
      <c r="B213" s="47" t="s">
        <v>248</v>
      </c>
      <c r="C213" s="8" t="s">
        <v>744</v>
      </c>
      <c r="D213" s="8" t="s">
        <v>675</v>
      </c>
      <c r="E213" s="8" t="s">
        <v>664</v>
      </c>
      <c r="F213" s="8"/>
      <c r="G213" s="8"/>
      <c r="H213" s="10">
        <v>3.8</v>
      </c>
      <c r="I213" s="54">
        <f>VLOOKUP(A213,İstasyonlar!$A$2:$D$776,4,0)</f>
        <v>1000000</v>
      </c>
      <c r="J213" s="54">
        <f t="shared" si="7"/>
        <v>61</v>
      </c>
      <c r="K213" t="str">
        <f t="shared" si="6"/>
        <v/>
      </c>
    </row>
    <row r="214" spans="1:11" x14ac:dyDescent="0.3">
      <c r="A214" s="9" t="s">
        <v>50</v>
      </c>
      <c r="B214" s="47" t="s">
        <v>249</v>
      </c>
      <c r="C214" s="8" t="s">
        <v>744</v>
      </c>
      <c r="D214" s="8" t="s">
        <v>675</v>
      </c>
      <c r="E214" s="8" t="s">
        <v>664</v>
      </c>
      <c r="F214" s="8"/>
      <c r="G214" s="8"/>
      <c r="H214" s="10">
        <v>6.1</v>
      </c>
      <c r="I214" s="54">
        <f>VLOOKUP(A214,İstasyonlar!$A$2:$D$776,4,0)</f>
        <v>1000000</v>
      </c>
      <c r="J214" s="54">
        <f t="shared" si="7"/>
        <v>61</v>
      </c>
      <c r="K214" t="str">
        <f t="shared" si="6"/>
        <v/>
      </c>
    </row>
    <row r="215" spans="1:11" x14ac:dyDescent="0.3">
      <c r="A215" s="9" t="s">
        <v>50</v>
      </c>
      <c r="B215" s="47" t="s">
        <v>250</v>
      </c>
      <c r="C215" s="8" t="s">
        <v>744</v>
      </c>
      <c r="D215" s="8" t="s">
        <v>675</v>
      </c>
      <c r="E215" s="8" t="s">
        <v>664</v>
      </c>
      <c r="F215" s="8"/>
      <c r="G215" s="8"/>
      <c r="H215" s="10">
        <v>1</v>
      </c>
      <c r="I215" s="54">
        <f>VLOOKUP(A215,İstasyonlar!$A$2:$D$776,4,0)</f>
        <v>1000000</v>
      </c>
      <c r="J215" s="54">
        <f t="shared" si="7"/>
        <v>61</v>
      </c>
      <c r="K215" t="str">
        <f t="shared" si="6"/>
        <v/>
      </c>
    </row>
    <row r="216" spans="1:11" x14ac:dyDescent="0.3">
      <c r="A216" s="9" t="s">
        <v>51</v>
      </c>
      <c r="B216" s="47" t="s">
        <v>413</v>
      </c>
      <c r="C216" s="8" t="s">
        <v>629</v>
      </c>
      <c r="D216" s="8" t="s">
        <v>676</v>
      </c>
      <c r="E216" s="8"/>
      <c r="F216" s="8"/>
      <c r="G216" s="8"/>
      <c r="H216" s="10">
        <v>9.3000000000000007</v>
      </c>
      <c r="I216" s="54">
        <f>VLOOKUP(A216,İstasyonlar!$A$2:$D$776,4,0)</f>
        <v>999999999</v>
      </c>
      <c r="J216" s="54">
        <f t="shared" si="7"/>
        <v>62</v>
      </c>
      <c r="K216" t="str">
        <f t="shared" si="6"/>
        <v>Sabit</v>
      </c>
    </row>
    <row r="217" spans="1:11" x14ac:dyDescent="0.3">
      <c r="A217" s="9" t="s">
        <v>51</v>
      </c>
      <c r="B217" s="47" t="s">
        <v>253</v>
      </c>
      <c r="C217" s="8" t="s">
        <v>629</v>
      </c>
      <c r="D217" s="8" t="s">
        <v>676</v>
      </c>
      <c r="E217" s="8"/>
      <c r="F217" s="8"/>
      <c r="G217" s="8"/>
      <c r="H217" s="10">
        <v>4.2</v>
      </c>
      <c r="I217" s="54">
        <f>VLOOKUP(A217,İstasyonlar!$A$2:$D$776,4,0)</f>
        <v>999999999</v>
      </c>
      <c r="J217" s="54">
        <f t="shared" si="7"/>
        <v>62</v>
      </c>
      <c r="K217" t="str">
        <f t="shared" si="6"/>
        <v>Sabit</v>
      </c>
    </row>
    <row r="218" spans="1:11" x14ac:dyDescent="0.3">
      <c r="A218" s="9" t="s">
        <v>52</v>
      </c>
      <c r="B218" s="47" t="s">
        <v>254</v>
      </c>
      <c r="C218" s="8" t="s">
        <v>676</v>
      </c>
      <c r="D218" s="8"/>
      <c r="E218" s="8"/>
      <c r="F218" s="8"/>
      <c r="G218" s="8"/>
      <c r="H218" s="10">
        <v>5.5</v>
      </c>
      <c r="I218" s="54">
        <f>VLOOKUP(A218,İstasyonlar!$A$2:$D$776,4,0)</f>
        <v>999999999</v>
      </c>
      <c r="J218" s="54">
        <f t="shared" si="7"/>
        <v>63</v>
      </c>
      <c r="K218" t="str">
        <f t="shared" si="6"/>
        <v>Sabit</v>
      </c>
    </row>
    <row r="219" spans="1:11" x14ac:dyDescent="0.3">
      <c r="A219" s="9" t="s">
        <v>52</v>
      </c>
      <c r="B219" s="47" t="s">
        <v>255</v>
      </c>
      <c r="C219" s="8" t="s">
        <v>676</v>
      </c>
      <c r="D219" s="8"/>
      <c r="E219" s="8"/>
      <c r="F219" s="8"/>
      <c r="G219" s="8"/>
      <c r="H219" s="10">
        <v>1.8</v>
      </c>
      <c r="I219" s="54">
        <f>VLOOKUP(A219,İstasyonlar!$A$2:$D$776,4,0)</f>
        <v>999999999</v>
      </c>
      <c r="J219" s="54">
        <f t="shared" si="7"/>
        <v>63</v>
      </c>
      <c r="K219" t="str">
        <f t="shared" si="6"/>
        <v>Sabit</v>
      </c>
    </row>
    <row r="220" spans="1:11" x14ac:dyDescent="0.3">
      <c r="A220" s="9" t="s">
        <v>52</v>
      </c>
      <c r="B220" s="47" t="s">
        <v>256</v>
      </c>
      <c r="C220" s="8" t="s">
        <v>676</v>
      </c>
      <c r="D220" s="8"/>
      <c r="E220" s="8"/>
      <c r="F220" s="8"/>
      <c r="G220" s="8"/>
      <c r="H220" s="10">
        <v>2.5</v>
      </c>
      <c r="I220" s="54">
        <f>VLOOKUP(A220,İstasyonlar!$A$2:$D$776,4,0)</f>
        <v>999999999</v>
      </c>
      <c r="J220" s="54">
        <f t="shared" si="7"/>
        <v>63</v>
      </c>
      <c r="K220" t="str">
        <f t="shared" si="6"/>
        <v>Sabit</v>
      </c>
    </row>
    <row r="221" spans="1:11" x14ac:dyDescent="0.3">
      <c r="A221" s="9" t="s">
        <v>53</v>
      </c>
      <c r="B221" s="47" t="s">
        <v>257</v>
      </c>
      <c r="C221" s="8" t="s">
        <v>677</v>
      </c>
      <c r="D221" s="8"/>
      <c r="E221" s="8"/>
      <c r="F221" s="8"/>
      <c r="G221" s="8"/>
      <c r="H221" s="10">
        <v>0.5</v>
      </c>
      <c r="I221" s="54">
        <f>VLOOKUP(A221,İstasyonlar!$A$2:$D$776,4,0)</f>
        <v>999999999</v>
      </c>
      <c r="J221" s="54">
        <f t="shared" si="7"/>
        <v>64</v>
      </c>
      <c r="K221" t="str">
        <f t="shared" si="6"/>
        <v>Sabit</v>
      </c>
    </row>
    <row r="222" spans="1:11" x14ac:dyDescent="0.3">
      <c r="A222" s="9" t="s">
        <v>53</v>
      </c>
      <c r="B222" s="47" t="s">
        <v>258</v>
      </c>
      <c r="C222" s="8" t="s">
        <v>677</v>
      </c>
      <c r="D222" s="8"/>
      <c r="E222" s="8"/>
      <c r="F222" s="8"/>
      <c r="G222" s="8"/>
      <c r="H222" s="10">
        <v>2.8</v>
      </c>
      <c r="I222" s="54">
        <f>VLOOKUP(A222,İstasyonlar!$A$2:$D$776,4,0)</f>
        <v>999999999</v>
      </c>
      <c r="J222" s="54">
        <f t="shared" si="7"/>
        <v>64</v>
      </c>
      <c r="K222" t="str">
        <f t="shared" si="6"/>
        <v>Sabit</v>
      </c>
    </row>
    <row r="223" spans="1:11" x14ac:dyDescent="0.3">
      <c r="A223" s="9" t="s">
        <v>53</v>
      </c>
      <c r="B223" s="47" t="s">
        <v>259</v>
      </c>
      <c r="C223" s="8" t="s">
        <v>677</v>
      </c>
      <c r="D223" s="8"/>
      <c r="E223" s="8"/>
      <c r="F223" s="8"/>
      <c r="G223" s="8"/>
      <c r="H223" s="10">
        <v>3.8</v>
      </c>
      <c r="I223" s="54">
        <f>VLOOKUP(A223,İstasyonlar!$A$2:$D$776,4,0)</f>
        <v>999999999</v>
      </c>
      <c r="J223" s="54">
        <f t="shared" si="7"/>
        <v>64</v>
      </c>
      <c r="K223" t="str">
        <f t="shared" si="6"/>
        <v>Sabit</v>
      </c>
    </row>
    <row r="224" spans="1:11" x14ac:dyDescent="0.3">
      <c r="A224" s="9" t="s">
        <v>53</v>
      </c>
      <c r="B224" s="47" t="s">
        <v>260</v>
      </c>
      <c r="C224" s="8" t="s">
        <v>677</v>
      </c>
      <c r="D224" s="8"/>
      <c r="E224" s="8"/>
      <c r="F224" s="8"/>
      <c r="G224" s="8"/>
      <c r="H224" s="10">
        <v>3.9</v>
      </c>
      <c r="I224" s="54">
        <f>VLOOKUP(A224,İstasyonlar!$A$2:$D$776,4,0)</f>
        <v>999999999</v>
      </c>
      <c r="J224" s="54">
        <f t="shared" si="7"/>
        <v>64</v>
      </c>
      <c r="K224" t="str">
        <f t="shared" si="6"/>
        <v>Sabit</v>
      </c>
    </row>
    <row r="225" spans="1:11" x14ac:dyDescent="0.3">
      <c r="A225" s="9" t="s">
        <v>53</v>
      </c>
      <c r="B225" s="47" t="s">
        <v>261</v>
      </c>
      <c r="C225" s="8" t="s">
        <v>677</v>
      </c>
      <c r="D225" s="8"/>
      <c r="E225" s="8"/>
      <c r="F225" s="8"/>
      <c r="G225" s="8"/>
      <c r="H225" s="10">
        <v>0.5</v>
      </c>
      <c r="I225" s="54">
        <f>VLOOKUP(A225,İstasyonlar!$A$2:$D$776,4,0)</f>
        <v>999999999</v>
      </c>
      <c r="J225" s="54">
        <f t="shared" si="7"/>
        <v>64</v>
      </c>
      <c r="K225" t="str">
        <f t="shared" si="6"/>
        <v>Sabit</v>
      </c>
    </row>
    <row r="226" spans="1:11" x14ac:dyDescent="0.3">
      <c r="A226" s="9" t="s">
        <v>53</v>
      </c>
      <c r="B226" s="47" t="s">
        <v>262</v>
      </c>
      <c r="C226" s="8" t="s">
        <v>677</v>
      </c>
      <c r="D226" s="8"/>
      <c r="E226" s="8"/>
      <c r="F226" s="8"/>
      <c r="G226" s="8"/>
      <c r="H226" s="10">
        <v>3.1</v>
      </c>
      <c r="I226" s="54">
        <f>VLOOKUP(A226,İstasyonlar!$A$2:$D$776,4,0)</f>
        <v>999999999</v>
      </c>
      <c r="J226" s="54">
        <f t="shared" si="7"/>
        <v>64</v>
      </c>
      <c r="K226" t="str">
        <f t="shared" si="6"/>
        <v>Sabit</v>
      </c>
    </row>
    <row r="227" spans="1:11" x14ac:dyDescent="0.3">
      <c r="A227" s="9" t="s">
        <v>53</v>
      </c>
      <c r="B227" s="47" t="s">
        <v>263</v>
      </c>
      <c r="C227" s="8" t="s">
        <v>677</v>
      </c>
      <c r="D227" s="8"/>
      <c r="E227" s="8"/>
      <c r="F227" s="8"/>
      <c r="G227" s="8"/>
      <c r="H227" s="10">
        <v>3.1</v>
      </c>
      <c r="I227" s="54">
        <f>VLOOKUP(A227,İstasyonlar!$A$2:$D$776,4,0)</f>
        <v>999999999</v>
      </c>
      <c r="J227" s="54">
        <f t="shared" si="7"/>
        <v>64</v>
      </c>
      <c r="K227" t="str">
        <f t="shared" si="6"/>
        <v>Sabit</v>
      </c>
    </row>
    <row r="228" spans="1:11" x14ac:dyDescent="0.3">
      <c r="A228" s="9" t="s">
        <v>53</v>
      </c>
      <c r="B228" s="47" t="s">
        <v>264</v>
      </c>
      <c r="C228" s="8" t="s">
        <v>677</v>
      </c>
      <c r="D228" s="8"/>
      <c r="E228" s="8"/>
      <c r="F228" s="8"/>
      <c r="G228" s="8"/>
      <c r="H228" s="10">
        <v>0.5</v>
      </c>
      <c r="I228" s="54">
        <f>VLOOKUP(A228,İstasyonlar!$A$2:$D$776,4,0)</f>
        <v>999999999</v>
      </c>
      <c r="J228" s="54">
        <f t="shared" si="7"/>
        <v>64</v>
      </c>
      <c r="K228" t="str">
        <f t="shared" si="6"/>
        <v>Sabit</v>
      </c>
    </row>
    <row r="229" spans="1:11" x14ac:dyDescent="0.3">
      <c r="A229" s="9" t="s">
        <v>54</v>
      </c>
      <c r="B229" s="47" t="s">
        <v>265</v>
      </c>
      <c r="C229" s="8" t="s">
        <v>668</v>
      </c>
      <c r="D229" s="8" t="s">
        <v>677</v>
      </c>
      <c r="E229" s="8"/>
      <c r="F229" s="8"/>
      <c r="G229" s="8"/>
      <c r="H229" s="10">
        <v>2.5</v>
      </c>
      <c r="I229" s="54">
        <f>VLOOKUP(A229,İstasyonlar!$A$2:$D$776,4,0)</f>
        <v>999999999</v>
      </c>
      <c r="J229" s="54">
        <f t="shared" si="7"/>
        <v>65</v>
      </c>
      <c r="K229" t="str">
        <f t="shared" si="6"/>
        <v>Sabit</v>
      </c>
    </row>
    <row r="230" spans="1:11" x14ac:dyDescent="0.3">
      <c r="A230" s="9" t="s">
        <v>54</v>
      </c>
      <c r="B230" s="47" t="s">
        <v>266</v>
      </c>
      <c r="C230" s="8" t="s">
        <v>668</v>
      </c>
      <c r="D230" s="8" t="s">
        <v>677</v>
      </c>
      <c r="E230" s="8"/>
      <c r="F230" s="8"/>
      <c r="G230" s="8"/>
      <c r="H230" s="10">
        <v>1.5</v>
      </c>
      <c r="I230" s="54">
        <f>VLOOKUP(A230,İstasyonlar!$A$2:$D$776,4,0)</f>
        <v>999999999</v>
      </c>
      <c r="J230" s="54">
        <f t="shared" si="7"/>
        <v>65</v>
      </c>
      <c r="K230" t="str">
        <f t="shared" si="6"/>
        <v>Sabit</v>
      </c>
    </row>
    <row r="231" spans="1:11" x14ac:dyDescent="0.3">
      <c r="A231" s="9" t="s">
        <v>54</v>
      </c>
      <c r="B231" s="47" t="s">
        <v>267</v>
      </c>
      <c r="C231" s="8" t="s">
        <v>668</v>
      </c>
      <c r="D231" s="8" t="s">
        <v>677</v>
      </c>
      <c r="E231" s="8"/>
      <c r="F231" s="8"/>
      <c r="G231" s="8"/>
      <c r="H231" s="10">
        <v>2.5</v>
      </c>
      <c r="I231" s="54">
        <f>VLOOKUP(A231,İstasyonlar!$A$2:$D$776,4,0)</f>
        <v>999999999</v>
      </c>
      <c r="J231" s="54">
        <f t="shared" si="7"/>
        <v>65</v>
      </c>
      <c r="K231" t="str">
        <f t="shared" si="6"/>
        <v>Sabit</v>
      </c>
    </row>
    <row r="232" spans="1:11" x14ac:dyDescent="0.3">
      <c r="A232" s="9" t="s">
        <v>54</v>
      </c>
      <c r="B232" s="47" t="s">
        <v>268</v>
      </c>
      <c r="C232" s="8" t="s">
        <v>668</v>
      </c>
      <c r="D232" s="8" t="s">
        <v>677</v>
      </c>
      <c r="E232" s="8"/>
      <c r="F232" s="8"/>
      <c r="G232" s="8"/>
      <c r="H232" s="10">
        <v>1</v>
      </c>
      <c r="I232" s="54">
        <f>VLOOKUP(A232,İstasyonlar!$A$2:$D$776,4,0)</f>
        <v>999999999</v>
      </c>
      <c r="J232" s="54">
        <f t="shared" si="7"/>
        <v>65</v>
      </c>
      <c r="K232" t="str">
        <f t="shared" si="6"/>
        <v>Sabit</v>
      </c>
    </row>
    <row r="233" spans="1:11" x14ac:dyDescent="0.3">
      <c r="A233" s="9" t="s">
        <v>55</v>
      </c>
      <c r="B233" s="47" t="s">
        <v>269</v>
      </c>
      <c r="C233" s="8" t="s">
        <v>678</v>
      </c>
      <c r="D233" s="8" t="s">
        <v>633</v>
      </c>
      <c r="E233" s="8"/>
      <c r="F233" s="8"/>
      <c r="G233" s="8"/>
      <c r="H233" s="10">
        <v>0.5</v>
      </c>
      <c r="I233" s="54">
        <f>VLOOKUP(A233,İstasyonlar!$A$2:$D$776,4,0)</f>
        <v>999999999</v>
      </c>
      <c r="J233" s="54">
        <f t="shared" si="7"/>
        <v>66</v>
      </c>
      <c r="K233" t="str">
        <f t="shared" si="6"/>
        <v>Sabit</v>
      </c>
    </row>
    <row r="234" spans="1:11" x14ac:dyDescent="0.3">
      <c r="A234" s="9" t="s">
        <v>55</v>
      </c>
      <c r="B234" s="47" t="s">
        <v>270</v>
      </c>
      <c r="C234" s="8" t="s">
        <v>678</v>
      </c>
      <c r="D234" s="8" t="s">
        <v>633</v>
      </c>
      <c r="E234" s="8"/>
      <c r="F234" s="8"/>
      <c r="G234" s="8"/>
      <c r="H234" s="10">
        <v>2.1</v>
      </c>
      <c r="I234" s="54">
        <f>VLOOKUP(A234,İstasyonlar!$A$2:$D$776,4,0)</f>
        <v>999999999</v>
      </c>
      <c r="J234" s="54">
        <f t="shared" si="7"/>
        <v>66</v>
      </c>
      <c r="K234" t="str">
        <f t="shared" si="6"/>
        <v>Sabit</v>
      </c>
    </row>
    <row r="235" spans="1:11" x14ac:dyDescent="0.3">
      <c r="A235" s="9" t="s">
        <v>55</v>
      </c>
      <c r="B235" s="47" t="s">
        <v>271</v>
      </c>
      <c r="C235" s="8" t="s">
        <v>678</v>
      </c>
      <c r="D235" s="8" t="s">
        <v>633</v>
      </c>
      <c r="E235" s="8"/>
      <c r="F235" s="8"/>
      <c r="G235" s="8"/>
      <c r="H235" s="10">
        <v>5.5</v>
      </c>
      <c r="I235" s="54">
        <f>VLOOKUP(A235,İstasyonlar!$A$2:$D$776,4,0)</f>
        <v>999999999</v>
      </c>
      <c r="J235" s="54">
        <f t="shared" si="7"/>
        <v>66</v>
      </c>
      <c r="K235" t="str">
        <f t="shared" si="6"/>
        <v>Sabit</v>
      </c>
    </row>
    <row r="236" spans="1:11" x14ac:dyDescent="0.3">
      <c r="A236" s="9" t="s">
        <v>55</v>
      </c>
      <c r="B236" s="47" t="s">
        <v>272</v>
      </c>
      <c r="C236" s="8" t="s">
        <v>678</v>
      </c>
      <c r="D236" s="8" t="s">
        <v>633</v>
      </c>
      <c r="E236" s="8"/>
      <c r="F236" s="8"/>
      <c r="G236" s="8"/>
      <c r="H236" s="10">
        <v>4</v>
      </c>
      <c r="I236" s="54">
        <f>VLOOKUP(A236,İstasyonlar!$A$2:$D$776,4,0)</f>
        <v>999999999</v>
      </c>
      <c r="J236" s="54">
        <f t="shared" si="7"/>
        <v>66</v>
      </c>
      <c r="K236" t="str">
        <f t="shared" si="6"/>
        <v>Sabit</v>
      </c>
    </row>
    <row r="237" spans="1:11" x14ac:dyDescent="0.3">
      <c r="A237" s="9" t="s">
        <v>55</v>
      </c>
      <c r="B237" s="47" t="s">
        <v>420</v>
      </c>
      <c r="C237" s="8" t="s">
        <v>678</v>
      </c>
      <c r="D237" s="8" t="s">
        <v>633</v>
      </c>
      <c r="E237" s="8"/>
      <c r="F237" s="8"/>
      <c r="G237" s="8"/>
      <c r="H237" s="10">
        <v>3.1</v>
      </c>
      <c r="I237" s="54">
        <f>VLOOKUP(A237,İstasyonlar!$A$2:$D$776,4,0)</f>
        <v>999999999</v>
      </c>
      <c r="J237" s="54">
        <f t="shared" si="7"/>
        <v>66</v>
      </c>
      <c r="K237" t="str">
        <f t="shared" si="6"/>
        <v>Sabit</v>
      </c>
    </row>
    <row r="238" spans="1:11" x14ac:dyDescent="0.3">
      <c r="A238" s="9" t="s">
        <v>55</v>
      </c>
      <c r="B238" s="47" t="s">
        <v>273</v>
      </c>
      <c r="C238" s="8" t="s">
        <v>678</v>
      </c>
      <c r="D238" s="8" t="s">
        <v>633</v>
      </c>
      <c r="E238" s="8"/>
      <c r="F238" s="8"/>
      <c r="G238" s="8"/>
      <c r="H238" s="10">
        <v>3</v>
      </c>
      <c r="I238" s="54">
        <f>VLOOKUP(A238,İstasyonlar!$A$2:$D$776,4,0)</f>
        <v>999999999</v>
      </c>
      <c r="J238" s="54">
        <f t="shared" si="7"/>
        <v>66</v>
      </c>
      <c r="K238" t="str">
        <f t="shared" si="6"/>
        <v>Sabit</v>
      </c>
    </row>
    <row r="239" spans="1:11" x14ac:dyDescent="0.3">
      <c r="A239" s="9" t="s">
        <v>55</v>
      </c>
      <c r="B239" s="47" t="s">
        <v>275</v>
      </c>
      <c r="C239" s="8" t="s">
        <v>678</v>
      </c>
      <c r="D239" s="8" t="s">
        <v>633</v>
      </c>
      <c r="E239" s="8"/>
      <c r="F239" s="8"/>
      <c r="G239" s="8"/>
      <c r="H239" s="10">
        <v>0.5</v>
      </c>
      <c r="I239" s="54">
        <f>VLOOKUP(A239,İstasyonlar!$A$2:$D$776,4,0)</f>
        <v>999999999</v>
      </c>
      <c r="J239" s="54">
        <f t="shared" si="7"/>
        <v>66</v>
      </c>
      <c r="K239" t="str">
        <f t="shared" si="6"/>
        <v>Sabit</v>
      </c>
    </row>
    <row r="240" spans="1:11" x14ac:dyDescent="0.3">
      <c r="A240" s="9" t="s">
        <v>55</v>
      </c>
      <c r="B240" s="47" t="s">
        <v>276</v>
      </c>
      <c r="C240" s="8" t="s">
        <v>678</v>
      </c>
      <c r="D240" s="8" t="s">
        <v>633</v>
      </c>
      <c r="E240" s="8"/>
      <c r="F240" s="8"/>
      <c r="G240" s="8"/>
      <c r="H240" s="10">
        <v>0.5</v>
      </c>
      <c r="I240" s="54">
        <f>VLOOKUP(A240,İstasyonlar!$A$2:$D$776,4,0)</f>
        <v>999999999</v>
      </c>
      <c r="J240" s="54">
        <f t="shared" si="7"/>
        <v>66</v>
      </c>
      <c r="K240" t="str">
        <f t="shared" si="6"/>
        <v>Sabit</v>
      </c>
    </row>
    <row r="241" spans="1:11" x14ac:dyDescent="0.3">
      <c r="A241" s="9" t="s">
        <v>56</v>
      </c>
      <c r="B241" s="47" t="s">
        <v>277</v>
      </c>
      <c r="C241" s="8" t="s">
        <v>679</v>
      </c>
      <c r="D241" s="8"/>
      <c r="E241" s="8"/>
      <c r="F241" s="8"/>
      <c r="G241" s="8"/>
      <c r="H241" s="10">
        <v>6.5</v>
      </c>
      <c r="I241" s="54">
        <f>VLOOKUP(A241,İstasyonlar!$A$2:$D$776,4,0)</f>
        <v>999999999</v>
      </c>
      <c r="J241" s="54">
        <f t="shared" si="7"/>
        <v>67</v>
      </c>
      <c r="K241" t="str">
        <f t="shared" si="6"/>
        <v>Sabit</v>
      </c>
    </row>
    <row r="242" spans="1:11" x14ac:dyDescent="0.3">
      <c r="A242" s="9" t="s">
        <v>56</v>
      </c>
      <c r="B242" s="47" t="s">
        <v>278</v>
      </c>
      <c r="C242" s="8" t="s">
        <v>679</v>
      </c>
      <c r="D242" s="8"/>
      <c r="E242" s="8"/>
      <c r="F242" s="8"/>
      <c r="G242" s="8"/>
      <c r="H242" s="10">
        <v>6.1</v>
      </c>
      <c r="I242" s="54">
        <f>VLOOKUP(A242,İstasyonlar!$A$2:$D$776,4,0)</f>
        <v>999999999</v>
      </c>
      <c r="J242" s="54">
        <f t="shared" si="7"/>
        <v>67</v>
      </c>
      <c r="K242" t="str">
        <f t="shared" si="6"/>
        <v>Sabit</v>
      </c>
    </row>
    <row r="243" spans="1:11" x14ac:dyDescent="0.3">
      <c r="A243" s="9" t="s">
        <v>56</v>
      </c>
      <c r="B243" s="47" t="s">
        <v>279</v>
      </c>
      <c r="C243" s="8" t="s">
        <v>679</v>
      </c>
      <c r="D243" s="8"/>
      <c r="E243" s="8"/>
      <c r="F243" s="8"/>
      <c r="G243" s="8"/>
      <c r="H243" s="10">
        <v>2.5</v>
      </c>
      <c r="I243" s="54">
        <f>VLOOKUP(A243,İstasyonlar!$A$2:$D$776,4,0)</f>
        <v>999999999</v>
      </c>
      <c r="J243" s="54">
        <f t="shared" si="7"/>
        <v>67</v>
      </c>
      <c r="K243" t="str">
        <f t="shared" si="6"/>
        <v>Sabit</v>
      </c>
    </row>
    <row r="244" spans="1:11" x14ac:dyDescent="0.3">
      <c r="A244" s="9" t="s">
        <v>383</v>
      </c>
      <c r="B244" s="47" t="s">
        <v>478</v>
      </c>
      <c r="C244" s="8" t="s">
        <v>646</v>
      </c>
      <c r="D244" s="8" t="s">
        <v>647</v>
      </c>
      <c r="E244" s="8"/>
      <c r="F244" s="8"/>
      <c r="G244" s="8"/>
      <c r="H244" s="10">
        <v>3.9</v>
      </c>
      <c r="I244" s="54">
        <f>VLOOKUP(A244,İstasyonlar!$A$2:$D$776,4,0)</f>
        <v>999999999</v>
      </c>
      <c r="J244" s="54">
        <f t="shared" si="7"/>
        <v>68</v>
      </c>
      <c r="K244" t="str">
        <f t="shared" si="6"/>
        <v>Sabit</v>
      </c>
    </row>
    <row r="245" spans="1:11" x14ac:dyDescent="0.3">
      <c r="A245" s="9" t="s">
        <v>383</v>
      </c>
      <c r="B245" s="47" t="s">
        <v>479</v>
      </c>
      <c r="C245" s="8" t="s">
        <v>646</v>
      </c>
      <c r="D245" s="8" t="s">
        <v>647</v>
      </c>
      <c r="E245" s="8"/>
      <c r="F245" s="8"/>
      <c r="G245" s="8"/>
      <c r="H245" s="10">
        <v>1.2</v>
      </c>
      <c r="I245" s="54">
        <f>VLOOKUP(A245,İstasyonlar!$A$2:$D$776,4,0)</f>
        <v>999999999</v>
      </c>
      <c r="J245" s="54">
        <f t="shared" si="7"/>
        <v>68</v>
      </c>
      <c r="K245" t="str">
        <f t="shared" si="6"/>
        <v>Sabit</v>
      </c>
    </row>
    <row r="246" spans="1:11" x14ac:dyDescent="0.3">
      <c r="A246" s="9" t="s">
        <v>383</v>
      </c>
      <c r="B246" s="47" t="s">
        <v>480</v>
      </c>
      <c r="C246" s="8" t="s">
        <v>646</v>
      </c>
      <c r="D246" s="8" t="s">
        <v>647</v>
      </c>
      <c r="E246" s="8"/>
      <c r="F246" s="8"/>
      <c r="G246" s="8"/>
      <c r="H246" s="10">
        <v>4.9000000000000004</v>
      </c>
      <c r="I246" s="54">
        <f>VLOOKUP(A246,İstasyonlar!$A$2:$D$776,4,0)</f>
        <v>999999999</v>
      </c>
      <c r="J246" s="54">
        <f t="shared" si="7"/>
        <v>68</v>
      </c>
      <c r="K246" t="str">
        <f t="shared" si="6"/>
        <v>Sabit</v>
      </c>
    </row>
    <row r="247" spans="1:11" x14ac:dyDescent="0.3">
      <c r="A247" s="9" t="s">
        <v>383</v>
      </c>
      <c r="B247" s="47" t="s">
        <v>481</v>
      </c>
      <c r="C247" s="8" t="s">
        <v>646</v>
      </c>
      <c r="D247" s="8" t="s">
        <v>647</v>
      </c>
      <c r="E247" s="8"/>
      <c r="F247" s="8"/>
      <c r="G247" s="8"/>
      <c r="H247" s="10">
        <v>2.8</v>
      </c>
      <c r="I247" s="54">
        <f>VLOOKUP(A247,İstasyonlar!$A$2:$D$776,4,0)</f>
        <v>999999999</v>
      </c>
      <c r="J247" s="54">
        <f t="shared" si="7"/>
        <v>68</v>
      </c>
      <c r="K247" t="str">
        <f t="shared" si="6"/>
        <v>Sabit</v>
      </c>
    </row>
    <row r="248" spans="1:11" x14ac:dyDescent="0.3">
      <c r="A248" s="9" t="s">
        <v>383</v>
      </c>
      <c r="B248" s="47" t="s">
        <v>483</v>
      </c>
      <c r="C248" s="8" t="s">
        <v>646</v>
      </c>
      <c r="D248" s="8" t="s">
        <v>647</v>
      </c>
      <c r="E248" s="8"/>
      <c r="F248" s="8"/>
      <c r="G248" s="8"/>
      <c r="H248" s="10">
        <v>1</v>
      </c>
      <c r="I248" s="54">
        <f>VLOOKUP(A248,İstasyonlar!$A$2:$D$776,4,0)</f>
        <v>999999999</v>
      </c>
      <c r="J248" s="54">
        <f t="shared" si="7"/>
        <v>68</v>
      </c>
      <c r="K248" t="str">
        <f t="shared" si="6"/>
        <v>Sabit</v>
      </c>
    </row>
    <row r="249" spans="1:11" ht="15.6" x14ac:dyDescent="0.3">
      <c r="A249" s="9" t="s">
        <v>432</v>
      </c>
      <c r="B249" s="47" t="s">
        <v>499</v>
      </c>
      <c r="C249" s="8" t="s">
        <v>688</v>
      </c>
      <c r="D249" s="8" t="s">
        <v>615</v>
      </c>
      <c r="E249" s="8" t="s">
        <v>689</v>
      </c>
      <c r="F249" s="8"/>
      <c r="G249" s="8"/>
      <c r="H249" s="12">
        <v>5.4</v>
      </c>
      <c r="I249" s="54">
        <f>VLOOKUP(A249,İstasyonlar!$A$2:$D$776,4,0)</f>
        <v>999999999</v>
      </c>
      <c r="J249" s="54">
        <f t="shared" si="7"/>
        <v>69</v>
      </c>
      <c r="K249" t="str">
        <f t="shared" si="6"/>
        <v>Sabit</v>
      </c>
    </row>
    <row r="250" spans="1:11" ht="15.6" x14ac:dyDescent="0.3">
      <c r="A250" s="9" t="s">
        <v>432</v>
      </c>
      <c r="B250" s="47" t="s">
        <v>500</v>
      </c>
      <c r="C250" s="8" t="s">
        <v>688</v>
      </c>
      <c r="D250" s="8" t="s">
        <v>615</v>
      </c>
      <c r="E250" s="8" t="s">
        <v>689</v>
      </c>
      <c r="F250" s="8"/>
      <c r="G250" s="8"/>
      <c r="H250" s="12">
        <v>2</v>
      </c>
      <c r="I250" s="54">
        <f>VLOOKUP(A250,İstasyonlar!$A$2:$D$776,4,0)</f>
        <v>999999999</v>
      </c>
      <c r="J250" s="54">
        <f t="shared" si="7"/>
        <v>69</v>
      </c>
      <c r="K250" t="str">
        <f t="shared" si="6"/>
        <v>Sabit</v>
      </c>
    </row>
    <row r="251" spans="1:11" ht="15.6" x14ac:dyDescent="0.3">
      <c r="A251" s="9" t="s">
        <v>432</v>
      </c>
      <c r="B251" s="47" t="s">
        <v>501</v>
      </c>
      <c r="C251" s="8" t="s">
        <v>688</v>
      </c>
      <c r="D251" s="8" t="s">
        <v>615</v>
      </c>
      <c r="E251" s="8" t="s">
        <v>689</v>
      </c>
      <c r="F251" s="8"/>
      <c r="G251" s="8"/>
      <c r="H251" s="12">
        <v>9.5</v>
      </c>
      <c r="I251" s="54">
        <f>VLOOKUP(A251,İstasyonlar!$A$2:$D$776,4,0)</f>
        <v>999999999</v>
      </c>
      <c r="J251" s="54">
        <f t="shared" si="7"/>
        <v>69</v>
      </c>
      <c r="K251" t="str">
        <f t="shared" si="6"/>
        <v>Sabit</v>
      </c>
    </row>
    <row r="252" spans="1:11" ht="15.6" x14ac:dyDescent="0.3">
      <c r="A252" s="9" t="s">
        <v>435</v>
      </c>
      <c r="B252" s="47" t="s">
        <v>512</v>
      </c>
      <c r="C252" s="8" t="s">
        <v>693</v>
      </c>
      <c r="D252" s="8" t="s">
        <v>694</v>
      </c>
      <c r="E252" s="8"/>
      <c r="F252" s="8" t="s">
        <v>615</v>
      </c>
      <c r="G252" s="8" t="s">
        <v>614</v>
      </c>
      <c r="H252" s="12">
        <v>2.5</v>
      </c>
      <c r="I252" s="54">
        <f>VLOOKUP(A252,İstasyonlar!$A$2:$D$776,4,0)</f>
        <v>999999999</v>
      </c>
      <c r="J252" s="54">
        <f t="shared" si="7"/>
        <v>70</v>
      </c>
      <c r="K252" t="str">
        <f t="shared" si="6"/>
        <v>Sabit</v>
      </c>
    </row>
    <row r="253" spans="1:11" ht="15.6" x14ac:dyDescent="0.3">
      <c r="A253" s="9" t="s">
        <v>435</v>
      </c>
      <c r="B253" s="47" t="s">
        <v>513</v>
      </c>
      <c r="C253" s="8" t="s">
        <v>693</v>
      </c>
      <c r="D253" s="8" t="s">
        <v>694</v>
      </c>
      <c r="E253" s="8"/>
      <c r="F253" s="8" t="s">
        <v>615</v>
      </c>
      <c r="G253" s="8" t="s">
        <v>614</v>
      </c>
      <c r="H253" s="12">
        <v>3.2</v>
      </c>
      <c r="I253" s="54">
        <f>VLOOKUP(A253,İstasyonlar!$A$2:$D$776,4,0)</f>
        <v>999999999</v>
      </c>
      <c r="J253" s="54">
        <f t="shared" si="7"/>
        <v>70</v>
      </c>
      <c r="K253" t="str">
        <f t="shared" si="6"/>
        <v>Sabit</v>
      </c>
    </row>
    <row r="254" spans="1:11" ht="15.6" x14ac:dyDescent="0.3">
      <c r="A254" s="9" t="s">
        <v>435</v>
      </c>
      <c r="B254" s="47" t="s">
        <v>514</v>
      </c>
      <c r="C254" s="8" t="s">
        <v>693</v>
      </c>
      <c r="D254" s="8" t="s">
        <v>694</v>
      </c>
      <c r="E254" s="8"/>
      <c r="F254" s="8" t="s">
        <v>615</v>
      </c>
      <c r="G254" s="8" t="s">
        <v>614</v>
      </c>
      <c r="H254" s="12">
        <v>3.2</v>
      </c>
      <c r="I254" s="54">
        <f>VLOOKUP(A254,İstasyonlar!$A$2:$D$776,4,0)</f>
        <v>999999999</v>
      </c>
      <c r="J254" s="54">
        <f t="shared" si="7"/>
        <v>70</v>
      </c>
      <c r="K254" t="str">
        <f t="shared" si="6"/>
        <v>Sabit</v>
      </c>
    </row>
    <row r="255" spans="1:11" ht="15.6" x14ac:dyDescent="0.3">
      <c r="A255" s="9" t="s">
        <v>435</v>
      </c>
      <c r="B255" s="47" t="s">
        <v>515</v>
      </c>
      <c r="C255" s="8" t="s">
        <v>693</v>
      </c>
      <c r="D255" s="8" t="s">
        <v>694</v>
      </c>
      <c r="E255" s="8"/>
      <c r="F255" s="8" t="s">
        <v>615</v>
      </c>
      <c r="G255" s="8" t="s">
        <v>614</v>
      </c>
      <c r="H255" s="12">
        <v>3.2</v>
      </c>
      <c r="I255" s="54">
        <f>VLOOKUP(A255,İstasyonlar!$A$2:$D$776,4,0)</f>
        <v>999999999</v>
      </c>
      <c r="J255" s="54">
        <f t="shared" si="7"/>
        <v>70</v>
      </c>
      <c r="K255" t="str">
        <f t="shared" si="6"/>
        <v>Sabit</v>
      </c>
    </row>
    <row r="256" spans="1:11" ht="15.6" x14ac:dyDescent="0.3">
      <c r="A256" s="9" t="s">
        <v>435</v>
      </c>
      <c r="B256" s="47" t="s">
        <v>516</v>
      </c>
      <c r="C256" s="8" t="s">
        <v>693</v>
      </c>
      <c r="D256" s="8" t="s">
        <v>694</v>
      </c>
      <c r="E256" s="8"/>
      <c r="F256" s="8" t="s">
        <v>615</v>
      </c>
      <c r="G256" s="8" t="s">
        <v>614</v>
      </c>
      <c r="H256" s="12">
        <v>3.2</v>
      </c>
      <c r="I256" s="54">
        <f>VLOOKUP(A256,İstasyonlar!$A$2:$D$776,4,0)</f>
        <v>999999999</v>
      </c>
      <c r="J256" s="54">
        <f t="shared" si="7"/>
        <v>70</v>
      </c>
      <c r="K256" t="str">
        <f t="shared" si="6"/>
        <v>Sabit</v>
      </c>
    </row>
    <row r="257" spans="1:11" ht="15.6" x14ac:dyDescent="0.3">
      <c r="A257" s="9" t="s">
        <v>435</v>
      </c>
      <c r="B257" s="47" t="s">
        <v>517</v>
      </c>
      <c r="C257" s="8" t="s">
        <v>693</v>
      </c>
      <c r="D257" s="8" t="s">
        <v>694</v>
      </c>
      <c r="E257" s="8"/>
      <c r="F257" s="8" t="s">
        <v>615</v>
      </c>
      <c r="G257" s="8" t="s">
        <v>614</v>
      </c>
      <c r="H257" s="12">
        <v>3.8</v>
      </c>
      <c r="I257" s="54">
        <f>VLOOKUP(A257,İstasyonlar!$A$2:$D$776,4,0)</f>
        <v>999999999</v>
      </c>
      <c r="J257" s="54">
        <f t="shared" si="7"/>
        <v>70</v>
      </c>
      <c r="K257" t="str">
        <f t="shared" si="6"/>
        <v>Sabit</v>
      </c>
    </row>
    <row r="258" spans="1:11" ht="15.6" x14ac:dyDescent="0.3">
      <c r="A258" s="9" t="s">
        <v>560</v>
      </c>
      <c r="B258" s="47" t="s">
        <v>561</v>
      </c>
      <c r="C258" s="8" t="s">
        <v>702</v>
      </c>
      <c r="D258" s="8" t="s">
        <v>703</v>
      </c>
      <c r="E258" s="8"/>
      <c r="F258" s="8"/>
      <c r="G258" s="8"/>
      <c r="H258" s="12">
        <v>5.4</v>
      </c>
      <c r="I258" s="54">
        <f>VLOOKUP(A258,İstasyonlar!$A$2:$D$776,4,0)</f>
        <v>999999999</v>
      </c>
      <c r="J258" s="54">
        <f t="shared" si="7"/>
        <v>71</v>
      </c>
      <c r="K258" t="str">
        <f t="shared" ref="K258:K269" si="8">IF(I258=1000000,"","Sabit")</f>
        <v>Sabit</v>
      </c>
    </row>
    <row r="259" spans="1:11" ht="15.6" x14ac:dyDescent="0.3">
      <c r="A259" s="9" t="s">
        <v>560</v>
      </c>
      <c r="B259" s="47" t="s">
        <v>562</v>
      </c>
      <c r="C259" s="8" t="s">
        <v>702</v>
      </c>
      <c r="D259" s="8" t="s">
        <v>703</v>
      </c>
      <c r="E259" s="8"/>
      <c r="F259" s="8"/>
      <c r="G259" s="8"/>
      <c r="H259" s="12">
        <v>2.8</v>
      </c>
      <c r="I259" s="54">
        <f>VLOOKUP(A259,İstasyonlar!$A$2:$D$776,4,0)</f>
        <v>999999999</v>
      </c>
      <c r="J259" s="54">
        <f t="shared" ref="J259:J269" si="9">IF(A259=A258, J258, J258+1)</f>
        <v>71</v>
      </c>
      <c r="K259" t="str">
        <f t="shared" si="8"/>
        <v>Sabit</v>
      </c>
    </row>
    <row r="260" spans="1:11" ht="15.6" x14ac:dyDescent="0.3">
      <c r="A260" s="9" t="s">
        <v>560</v>
      </c>
      <c r="B260" s="47" t="s">
        <v>563</v>
      </c>
      <c r="C260" s="8" t="s">
        <v>702</v>
      </c>
      <c r="D260" s="8" t="s">
        <v>703</v>
      </c>
      <c r="E260" s="8"/>
      <c r="F260" s="8"/>
      <c r="G260" s="8"/>
      <c r="H260" s="12">
        <v>2.8</v>
      </c>
      <c r="I260" s="54">
        <f>VLOOKUP(A260,İstasyonlar!$A$2:$D$776,4,0)</f>
        <v>999999999</v>
      </c>
      <c r="J260" s="54">
        <f t="shared" si="9"/>
        <v>71</v>
      </c>
      <c r="K260" t="str">
        <f t="shared" si="8"/>
        <v>Sabit</v>
      </c>
    </row>
    <row r="261" spans="1:11" ht="15.6" x14ac:dyDescent="0.3">
      <c r="A261" s="9" t="s">
        <v>564</v>
      </c>
      <c r="B261" s="47" t="s">
        <v>565</v>
      </c>
      <c r="C261" s="8" t="s">
        <v>703</v>
      </c>
      <c r="D261" s="8" t="s">
        <v>702</v>
      </c>
      <c r="E261" s="8" t="s">
        <v>707</v>
      </c>
      <c r="F261" s="8"/>
      <c r="G261" s="8"/>
      <c r="H261" s="12">
        <v>3.2</v>
      </c>
      <c r="I261" s="54">
        <f>VLOOKUP(A261,İstasyonlar!$A$2:$D$776,4,0)</f>
        <v>999999999</v>
      </c>
      <c r="J261" s="54">
        <f t="shared" si="9"/>
        <v>72</v>
      </c>
      <c r="K261" t="str">
        <f t="shared" si="8"/>
        <v>Sabit</v>
      </c>
    </row>
    <row r="262" spans="1:11" ht="15.6" x14ac:dyDescent="0.3">
      <c r="A262" s="9" t="s">
        <v>564</v>
      </c>
      <c r="B262" s="47" t="s">
        <v>566</v>
      </c>
      <c r="C262" s="8" t="s">
        <v>703</v>
      </c>
      <c r="D262" s="8" t="s">
        <v>702</v>
      </c>
      <c r="E262" s="8" t="s">
        <v>707</v>
      </c>
      <c r="F262" s="8"/>
      <c r="G262" s="8"/>
      <c r="H262" s="12">
        <v>3.2</v>
      </c>
      <c r="I262" s="54">
        <f>VLOOKUP(A262,İstasyonlar!$A$2:$D$776,4,0)</f>
        <v>999999999</v>
      </c>
      <c r="J262" s="54">
        <f t="shared" si="9"/>
        <v>72</v>
      </c>
      <c r="K262" t="str">
        <f t="shared" si="8"/>
        <v>Sabit</v>
      </c>
    </row>
    <row r="263" spans="1:11" ht="15.6" x14ac:dyDescent="0.3">
      <c r="A263" s="9" t="s">
        <v>564</v>
      </c>
      <c r="B263" s="47" t="s">
        <v>567</v>
      </c>
      <c r="C263" s="8" t="s">
        <v>703</v>
      </c>
      <c r="D263" s="8" t="s">
        <v>702</v>
      </c>
      <c r="E263" s="8" t="s">
        <v>707</v>
      </c>
      <c r="F263" s="8"/>
      <c r="G263" s="8"/>
      <c r="H263" s="12">
        <v>3.2</v>
      </c>
      <c r="I263" s="54">
        <f>VLOOKUP(A263,İstasyonlar!$A$2:$D$776,4,0)</f>
        <v>999999999</v>
      </c>
      <c r="J263" s="54">
        <f t="shared" si="9"/>
        <v>72</v>
      </c>
      <c r="K263" t="str">
        <f t="shared" si="8"/>
        <v>Sabit</v>
      </c>
    </row>
    <row r="264" spans="1:11" ht="15.6" x14ac:dyDescent="0.3">
      <c r="A264" s="9" t="s">
        <v>568</v>
      </c>
      <c r="B264" s="47" t="s">
        <v>569</v>
      </c>
      <c r="C264" s="8" t="s">
        <v>707</v>
      </c>
      <c r="D264" s="8"/>
      <c r="E264" s="8" t="s">
        <v>702</v>
      </c>
      <c r="F264" s="8"/>
      <c r="G264" s="8"/>
      <c r="H264" s="12">
        <v>5.8</v>
      </c>
      <c r="I264" s="54">
        <f>VLOOKUP(A264,İstasyonlar!$A$2:$D$776,4,0)</f>
        <v>999999999</v>
      </c>
      <c r="J264" s="54">
        <f t="shared" si="9"/>
        <v>73</v>
      </c>
      <c r="K264" t="str">
        <f t="shared" si="8"/>
        <v>Sabit</v>
      </c>
    </row>
    <row r="265" spans="1:11" ht="15.6" x14ac:dyDescent="0.3">
      <c r="A265" s="9" t="s">
        <v>568</v>
      </c>
      <c r="B265" s="47" t="s">
        <v>570</v>
      </c>
      <c r="C265" s="8" t="s">
        <v>707</v>
      </c>
      <c r="D265" s="8"/>
      <c r="E265" s="8" t="s">
        <v>702</v>
      </c>
      <c r="F265" s="8"/>
      <c r="G265" s="8"/>
      <c r="H265" s="12">
        <v>2.4</v>
      </c>
      <c r="I265" s="54">
        <f>VLOOKUP(A265,İstasyonlar!$A$2:$D$776,4,0)</f>
        <v>999999999</v>
      </c>
      <c r="J265" s="54">
        <f t="shared" si="9"/>
        <v>73</v>
      </c>
      <c r="K265" t="str">
        <f t="shared" si="8"/>
        <v>Sabit</v>
      </c>
    </row>
    <row r="266" spans="1:11" ht="15.6" x14ac:dyDescent="0.3">
      <c r="A266" s="9" t="s">
        <v>568</v>
      </c>
      <c r="B266" s="47" t="s">
        <v>571</v>
      </c>
      <c r="C266" s="8" t="s">
        <v>707</v>
      </c>
      <c r="D266" s="8"/>
      <c r="E266" s="8" t="s">
        <v>702</v>
      </c>
      <c r="F266" s="8"/>
      <c r="G266" s="8"/>
      <c r="H266" s="12">
        <v>2.4</v>
      </c>
      <c r="I266" s="54">
        <f>VLOOKUP(A266,İstasyonlar!$A$2:$D$776,4,0)</f>
        <v>999999999</v>
      </c>
      <c r="J266" s="54">
        <f t="shared" si="9"/>
        <v>73</v>
      </c>
      <c r="K266" t="str">
        <f t="shared" si="8"/>
        <v>Sabit</v>
      </c>
    </row>
    <row r="267" spans="1:11" ht="15.6" x14ac:dyDescent="0.3">
      <c r="A267" s="9" t="s">
        <v>568</v>
      </c>
      <c r="B267" s="47" t="s">
        <v>572</v>
      </c>
      <c r="C267" s="8" t="s">
        <v>707</v>
      </c>
      <c r="D267" s="8"/>
      <c r="E267" s="8" t="s">
        <v>702</v>
      </c>
      <c r="F267" s="8"/>
      <c r="G267" s="8"/>
      <c r="H267" s="12">
        <v>2.4</v>
      </c>
      <c r="I267" s="54">
        <f>VLOOKUP(A267,İstasyonlar!$A$2:$D$776,4,0)</f>
        <v>999999999</v>
      </c>
      <c r="J267" s="54">
        <f t="shared" si="9"/>
        <v>73</v>
      </c>
      <c r="K267" t="str">
        <f t="shared" si="8"/>
        <v>Sabit</v>
      </c>
    </row>
    <row r="268" spans="1:11" ht="15.6" x14ac:dyDescent="0.3">
      <c r="A268" s="9" t="s">
        <v>578</v>
      </c>
      <c r="B268" s="47" t="s">
        <v>579</v>
      </c>
      <c r="C268" s="8" t="s">
        <v>715</v>
      </c>
      <c r="D268" s="8" t="s">
        <v>716</v>
      </c>
      <c r="E268" s="8"/>
      <c r="F268" s="8"/>
      <c r="G268" s="8"/>
      <c r="H268" s="12">
        <v>8.5</v>
      </c>
      <c r="I268" s="54">
        <f>VLOOKUP(A268,İstasyonlar!$A$2:$D$776,4,0)</f>
        <v>999999999</v>
      </c>
      <c r="J268" s="54">
        <f t="shared" si="9"/>
        <v>74</v>
      </c>
      <c r="K268" t="str">
        <f t="shared" si="8"/>
        <v>Sabit</v>
      </c>
    </row>
    <row r="269" spans="1:11" ht="15.6" x14ac:dyDescent="0.3">
      <c r="A269" s="9" t="s">
        <v>580</v>
      </c>
      <c r="B269" s="47" t="s">
        <v>581</v>
      </c>
      <c r="C269" s="8" t="s">
        <v>716</v>
      </c>
      <c r="D269" s="8" t="s">
        <v>715</v>
      </c>
      <c r="E269" s="8" t="s">
        <v>718</v>
      </c>
      <c r="F269" s="8"/>
      <c r="G269" s="8"/>
      <c r="H269" s="12">
        <v>8.5</v>
      </c>
      <c r="I269" s="54">
        <f>VLOOKUP(A269,İstasyonlar!$A$2:$D$776,4,0)</f>
        <v>999999999</v>
      </c>
      <c r="J269" s="54">
        <f t="shared" si="9"/>
        <v>75</v>
      </c>
      <c r="K269" t="str">
        <f t="shared" si="8"/>
        <v>Sabit</v>
      </c>
    </row>
    <row r="270" spans="1:11" x14ac:dyDescent="0.3">
      <c r="A270"/>
      <c r="B270"/>
      <c r="C270"/>
      <c r="D270"/>
      <c r="E270"/>
      <c r="F270"/>
      <c r="G270"/>
    </row>
    <row r="271" spans="1:11" x14ac:dyDescent="0.3">
      <c r="A271"/>
      <c r="B271"/>
      <c r="C271"/>
      <c r="D271"/>
      <c r="E271"/>
      <c r="F271"/>
      <c r="G271"/>
    </row>
    <row r="272" spans="1:11" x14ac:dyDescent="0.3">
      <c r="A272"/>
      <c r="B272"/>
      <c r="C272"/>
      <c r="D272"/>
      <c r="E272"/>
      <c r="F272"/>
      <c r="G272"/>
    </row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</sheetData>
  <autoFilter ref="A1:J284" xr:uid="{306E4603-0049-4D04-B317-48A8F8E80A07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B1A9F-21A8-4BC5-AECD-AE04BFEF17A1}">
  <dimension ref="A1:K276"/>
  <sheetViews>
    <sheetView topLeftCell="A93" zoomScale="70" zoomScaleNormal="70" workbookViewId="0">
      <selection activeCell="N25" sqref="N25"/>
    </sheetView>
  </sheetViews>
  <sheetFormatPr defaultRowHeight="14.4" x14ac:dyDescent="0.3"/>
  <cols>
    <col min="1" max="2" width="27.21875" style="1" customWidth="1"/>
    <col min="3" max="7" width="15.21875" style="1" customWidth="1"/>
    <col min="9" max="9" width="11.33203125" bestFit="1" customWidth="1"/>
  </cols>
  <sheetData>
    <row r="1" spans="1:11" ht="42.75" customHeight="1" x14ac:dyDescent="0.3">
      <c r="A1" s="55" t="s">
        <v>59</v>
      </c>
      <c r="B1" s="55" t="s">
        <v>60</v>
      </c>
      <c r="C1" s="46" t="s">
        <v>312</v>
      </c>
      <c r="D1" s="46" t="s">
        <v>280</v>
      </c>
      <c r="E1" s="46" t="s">
        <v>281</v>
      </c>
      <c r="F1" s="46" t="s">
        <v>282</v>
      </c>
      <c r="G1" s="46" t="s">
        <v>283</v>
      </c>
      <c r="H1" s="45" t="s">
        <v>61</v>
      </c>
      <c r="I1" s="46" t="s">
        <v>731</v>
      </c>
      <c r="J1" s="46" t="s">
        <v>462</v>
      </c>
    </row>
    <row r="2" spans="1:11" x14ac:dyDescent="0.3">
      <c r="A2" s="9" t="s">
        <v>0</v>
      </c>
      <c r="B2" s="47" t="s">
        <v>62</v>
      </c>
      <c r="C2" s="8" t="s">
        <v>594</v>
      </c>
      <c r="D2" s="8" t="s">
        <v>595</v>
      </c>
      <c r="E2" s="8" t="s">
        <v>596</v>
      </c>
      <c r="F2" s="8"/>
      <c r="G2" s="8"/>
      <c r="H2" s="10">
        <v>6.1</v>
      </c>
      <c r="I2" s="54">
        <f>VLOOKUP(A2,İstasyonlar!$A$2:$D$776,4,0)</f>
        <v>1000000</v>
      </c>
      <c r="J2" s="54">
        <v>1</v>
      </c>
      <c r="K2" t="str">
        <f t="shared" ref="K2:K65" si="0">IF(I2=1000000,"","Sabit")</f>
        <v/>
      </c>
    </row>
    <row r="3" spans="1:11" x14ac:dyDescent="0.3">
      <c r="A3" s="9" t="s">
        <v>0</v>
      </c>
      <c r="B3" s="47" t="s">
        <v>63</v>
      </c>
      <c r="C3" s="8" t="s">
        <v>594</v>
      </c>
      <c r="D3" s="8" t="s">
        <v>595</v>
      </c>
      <c r="E3" s="8" t="s">
        <v>596</v>
      </c>
      <c r="F3" s="8"/>
      <c r="G3" s="8"/>
      <c r="H3" s="10">
        <v>6.1</v>
      </c>
      <c r="I3" s="54">
        <f>VLOOKUP(A3,İstasyonlar!$A$2:$D$776,4,0)</f>
        <v>1000000</v>
      </c>
      <c r="J3" s="54">
        <f t="shared" ref="J3:J66" si="1">IF(A3=A2, J2, J2+1)</f>
        <v>1</v>
      </c>
      <c r="K3" t="str">
        <f t="shared" si="0"/>
        <v/>
      </c>
    </row>
    <row r="4" spans="1:11" x14ac:dyDescent="0.3">
      <c r="A4" s="9" t="s">
        <v>1</v>
      </c>
      <c r="B4" s="47" t="s">
        <v>64</v>
      </c>
      <c r="C4" s="8" t="s">
        <v>596</v>
      </c>
      <c r="D4" s="8" t="s">
        <v>598</v>
      </c>
      <c r="E4" s="8" t="s">
        <v>594</v>
      </c>
      <c r="F4" s="8"/>
      <c r="G4" s="8"/>
      <c r="H4" s="10">
        <v>5.8</v>
      </c>
      <c r="I4" s="54">
        <f>VLOOKUP(A4,İstasyonlar!$A$2:$D$776,4,0)</f>
        <v>999999999</v>
      </c>
      <c r="J4" s="54">
        <f t="shared" si="1"/>
        <v>2</v>
      </c>
      <c r="K4" t="str">
        <f t="shared" si="0"/>
        <v>Sabit</v>
      </c>
    </row>
    <row r="5" spans="1:11" x14ac:dyDescent="0.3">
      <c r="A5" s="9" t="s">
        <v>1</v>
      </c>
      <c r="B5" s="47" t="s">
        <v>65</v>
      </c>
      <c r="C5" s="8" t="s">
        <v>596</v>
      </c>
      <c r="D5" s="8" t="s">
        <v>598</v>
      </c>
      <c r="E5" s="8" t="s">
        <v>594</v>
      </c>
      <c r="F5" s="8"/>
      <c r="G5" s="8"/>
      <c r="H5" s="10">
        <v>6.4</v>
      </c>
      <c r="I5" s="54">
        <f>VLOOKUP(A5,İstasyonlar!$A$2:$D$776,4,0)</f>
        <v>999999999</v>
      </c>
      <c r="J5" s="54">
        <f t="shared" si="1"/>
        <v>2</v>
      </c>
      <c r="K5" t="str">
        <f t="shared" si="0"/>
        <v>Sabit</v>
      </c>
    </row>
    <row r="6" spans="1:11" x14ac:dyDescent="0.3">
      <c r="A6" s="9" t="s">
        <v>2</v>
      </c>
      <c r="B6" s="47" t="s">
        <v>287</v>
      </c>
      <c r="C6" s="8" t="s">
        <v>598</v>
      </c>
      <c r="D6" s="8" t="s">
        <v>596</v>
      </c>
      <c r="E6" s="8"/>
      <c r="F6" s="8"/>
      <c r="G6" s="8"/>
      <c r="H6" s="10">
        <v>6.4</v>
      </c>
      <c r="I6" s="54">
        <f>VLOOKUP(A6,İstasyonlar!$A$2:$D$776,4,0)</f>
        <v>999999999</v>
      </c>
      <c r="J6" s="54">
        <f t="shared" si="1"/>
        <v>3</v>
      </c>
      <c r="K6" t="str">
        <f t="shared" si="0"/>
        <v>Sabit</v>
      </c>
    </row>
    <row r="7" spans="1:11" x14ac:dyDescent="0.3">
      <c r="A7" s="9" t="s">
        <v>2</v>
      </c>
      <c r="B7" s="47" t="s">
        <v>288</v>
      </c>
      <c r="C7" s="8" t="s">
        <v>598</v>
      </c>
      <c r="D7" s="8" t="s">
        <v>596</v>
      </c>
      <c r="E7" s="8"/>
      <c r="F7" s="8"/>
      <c r="G7" s="8"/>
      <c r="H7" s="10">
        <v>1</v>
      </c>
      <c r="I7" s="54">
        <f>VLOOKUP(A7,İstasyonlar!$A$2:$D$776,4,0)</f>
        <v>999999999</v>
      </c>
      <c r="J7" s="54">
        <f t="shared" si="1"/>
        <v>3</v>
      </c>
      <c r="K7" t="str">
        <f t="shared" si="0"/>
        <v>Sabit</v>
      </c>
    </row>
    <row r="8" spans="1:11" x14ac:dyDescent="0.3">
      <c r="A8" s="9" t="s">
        <v>3</v>
      </c>
      <c r="B8" s="47" t="s">
        <v>66</v>
      </c>
      <c r="C8" s="8" t="s">
        <v>599</v>
      </c>
      <c r="D8" s="8" t="s">
        <v>600</v>
      </c>
      <c r="E8" s="8"/>
      <c r="F8" s="8"/>
      <c r="G8" s="8"/>
      <c r="H8" s="10">
        <v>9.5</v>
      </c>
      <c r="I8" s="54">
        <f>VLOOKUP(A8,İstasyonlar!$A$2:$D$776,4,0)</f>
        <v>1000000</v>
      </c>
      <c r="J8" s="54">
        <f t="shared" si="1"/>
        <v>4</v>
      </c>
      <c r="K8" t="str">
        <f t="shared" si="0"/>
        <v/>
      </c>
    </row>
    <row r="9" spans="1:11" x14ac:dyDescent="0.3">
      <c r="A9" s="9" t="s">
        <v>3</v>
      </c>
      <c r="B9" s="47" t="s">
        <v>67</v>
      </c>
      <c r="C9" s="8" t="s">
        <v>599</v>
      </c>
      <c r="D9" s="8" t="s">
        <v>600</v>
      </c>
      <c r="E9" s="8"/>
      <c r="F9" s="8"/>
      <c r="G9" s="8"/>
      <c r="H9" s="10">
        <v>3.1</v>
      </c>
      <c r="I9" s="54">
        <f>VLOOKUP(A9,İstasyonlar!$A$2:$D$776,4,0)</f>
        <v>1000000</v>
      </c>
      <c r="J9" s="54">
        <f t="shared" si="1"/>
        <v>4</v>
      </c>
      <c r="K9" t="str">
        <f t="shared" si="0"/>
        <v/>
      </c>
    </row>
    <row r="10" spans="1:11" x14ac:dyDescent="0.3">
      <c r="A10" s="9" t="s">
        <v>5</v>
      </c>
      <c r="B10" s="47" t="s">
        <v>68</v>
      </c>
      <c r="C10" s="8" t="s">
        <v>601</v>
      </c>
      <c r="D10" s="8" t="s">
        <v>602</v>
      </c>
      <c r="E10" s="8" t="s">
        <v>595</v>
      </c>
      <c r="F10" s="8"/>
      <c r="G10" s="8"/>
      <c r="H10" s="10">
        <v>6.5</v>
      </c>
      <c r="I10" s="54">
        <f>VLOOKUP(A10,İstasyonlar!$A$2:$D$776,4,0)</f>
        <v>1000000</v>
      </c>
      <c r="J10" s="54">
        <f t="shared" si="1"/>
        <v>5</v>
      </c>
      <c r="K10" t="str">
        <f t="shared" si="0"/>
        <v/>
      </c>
    </row>
    <row r="11" spans="1:11" x14ac:dyDescent="0.3">
      <c r="A11" s="9" t="s">
        <v>5</v>
      </c>
      <c r="B11" s="47" t="s">
        <v>69</v>
      </c>
      <c r="C11" s="8" t="s">
        <v>601</v>
      </c>
      <c r="D11" s="8" t="s">
        <v>602</v>
      </c>
      <c r="E11" s="8" t="s">
        <v>595</v>
      </c>
      <c r="F11" s="8"/>
      <c r="G11" s="8"/>
      <c r="H11" s="10">
        <v>3.1</v>
      </c>
      <c r="I11" s="54">
        <f>VLOOKUP(A11,İstasyonlar!$A$2:$D$776,4,0)</f>
        <v>1000000</v>
      </c>
      <c r="J11" s="54">
        <f t="shared" si="1"/>
        <v>5</v>
      </c>
      <c r="K11" t="str">
        <f t="shared" si="0"/>
        <v/>
      </c>
    </row>
    <row r="12" spans="1:11" x14ac:dyDescent="0.3">
      <c r="A12" s="9" t="s">
        <v>5</v>
      </c>
      <c r="B12" s="47" t="s">
        <v>70</v>
      </c>
      <c r="C12" s="8" t="s">
        <v>601</v>
      </c>
      <c r="D12" s="8" t="s">
        <v>602</v>
      </c>
      <c r="E12" s="8" t="s">
        <v>595</v>
      </c>
      <c r="F12" s="8"/>
      <c r="G12" s="8"/>
      <c r="H12" s="10">
        <v>0.3</v>
      </c>
      <c r="I12" s="54">
        <f>VLOOKUP(A12,İstasyonlar!$A$2:$D$776,4,0)</f>
        <v>1000000</v>
      </c>
      <c r="J12" s="54">
        <f t="shared" si="1"/>
        <v>5</v>
      </c>
      <c r="K12" t="str">
        <f t="shared" si="0"/>
        <v/>
      </c>
    </row>
    <row r="13" spans="1:11" x14ac:dyDescent="0.3">
      <c r="A13" s="9" t="s">
        <v>329</v>
      </c>
      <c r="B13" s="47" t="s">
        <v>330</v>
      </c>
      <c r="C13" s="8" t="s">
        <v>595</v>
      </c>
      <c r="D13" s="8"/>
      <c r="E13" s="8" t="s">
        <v>603</v>
      </c>
      <c r="F13" s="8" t="s">
        <v>596</v>
      </c>
      <c r="G13" s="8"/>
      <c r="H13" s="10">
        <v>6.5</v>
      </c>
      <c r="I13" s="54">
        <f>VLOOKUP(A13,İstasyonlar!$A$2:$D$776,4,0)</f>
        <v>1000000</v>
      </c>
      <c r="J13" s="54">
        <f t="shared" si="1"/>
        <v>6</v>
      </c>
      <c r="K13" t="str">
        <f t="shared" si="0"/>
        <v/>
      </c>
    </row>
    <row r="14" spans="1:11" x14ac:dyDescent="0.3">
      <c r="A14" s="9" t="s">
        <v>329</v>
      </c>
      <c r="B14" s="47" t="s">
        <v>331</v>
      </c>
      <c r="C14" s="8" t="s">
        <v>595</v>
      </c>
      <c r="D14" s="8"/>
      <c r="E14" s="8" t="s">
        <v>603</v>
      </c>
      <c r="F14" s="8" t="s">
        <v>596</v>
      </c>
      <c r="G14" s="8"/>
      <c r="H14" s="10">
        <v>2.8</v>
      </c>
      <c r="I14" s="54">
        <f>VLOOKUP(A14,İstasyonlar!$A$2:$D$776,4,0)</f>
        <v>1000000</v>
      </c>
      <c r="J14" s="54">
        <f t="shared" si="1"/>
        <v>6</v>
      </c>
      <c r="K14" t="str">
        <f t="shared" si="0"/>
        <v/>
      </c>
    </row>
    <row r="15" spans="1:11" x14ac:dyDescent="0.3">
      <c r="A15" s="9" t="s">
        <v>329</v>
      </c>
      <c r="B15" s="47" t="s">
        <v>332</v>
      </c>
      <c r="C15" s="8" t="s">
        <v>595</v>
      </c>
      <c r="D15" s="8"/>
      <c r="E15" s="8" t="s">
        <v>603</v>
      </c>
      <c r="F15" s="8" t="s">
        <v>596</v>
      </c>
      <c r="G15" s="8"/>
      <c r="H15" s="10">
        <v>3.1</v>
      </c>
      <c r="I15" s="54">
        <f>VLOOKUP(A15,İstasyonlar!$A$2:$D$776,4,0)</f>
        <v>1000000</v>
      </c>
      <c r="J15" s="54">
        <f t="shared" si="1"/>
        <v>6</v>
      </c>
      <c r="K15" t="str">
        <f t="shared" si="0"/>
        <v/>
      </c>
    </row>
    <row r="16" spans="1:11" x14ac:dyDescent="0.3">
      <c r="A16" s="9" t="s">
        <v>289</v>
      </c>
      <c r="B16" s="47" t="s">
        <v>290</v>
      </c>
      <c r="C16" s="8" t="s">
        <v>604</v>
      </c>
      <c r="D16" s="8" t="s">
        <v>605</v>
      </c>
      <c r="E16" s="8"/>
      <c r="F16" s="8"/>
      <c r="G16" s="8"/>
      <c r="H16" s="10">
        <v>4.3</v>
      </c>
      <c r="I16" s="54">
        <f>VLOOKUP(A16,İstasyonlar!$A$2:$D$776,4,0)</f>
        <v>1000000</v>
      </c>
      <c r="J16" s="54">
        <f t="shared" si="1"/>
        <v>7</v>
      </c>
      <c r="K16" t="str">
        <f t="shared" si="0"/>
        <v/>
      </c>
    </row>
    <row r="17" spans="1:11" x14ac:dyDescent="0.3">
      <c r="A17" s="9" t="s">
        <v>6</v>
      </c>
      <c r="B17" s="47" t="s">
        <v>73</v>
      </c>
      <c r="C17" s="8" t="s">
        <v>606</v>
      </c>
      <c r="D17" s="8" t="s">
        <v>599</v>
      </c>
      <c r="E17" s="8"/>
      <c r="F17" s="8"/>
      <c r="G17" s="8"/>
      <c r="H17" s="10">
        <v>5.3</v>
      </c>
      <c r="I17" s="54">
        <f>VLOOKUP(A17,İstasyonlar!$A$2:$D$776,4,0)</f>
        <v>999999999</v>
      </c>
      <c r="J17" s="54">
        <f t="shared" si="1"/>
        <v>8</v>
      </c>
      <c r="K17" t="str">
        <f t="shared" si="0"/>
        <v>Sabit</v>
      </c>
    </row>
    <row r="18" spans="1:11" x14ac:dyDescent="0.3">
      <c r="A18" s="9" t="s">
        <v>6</v>
      </c>
      <c r="B18" s="47" t="s">
        <v>74</v>
      </c>
      <c r="C18" s="8" t="s">
        <v>606</v>
      </c>
      <c r="D18" s="8" t="s">
        <v>599</v>
      </c>
      <c r="E18" s="8"/>
      <c r="F18" s="8"/>
      <c r="G18" s="8"/>
      <c r="H18" s="10">
        <v>6.4</v>
      </c>
      <c r="I18" s="54">
        <f>VLOOKUP(A18,İstasyonlar!$A$2:$D$776,4,0)</f>
        <v>999999999</v>
      </c>
      <c r="J18" s="54">
        <f t="shared" si="1"/>
        <v>8</v>
      </c>
      <c r="K18" t="str">
        <f t="shared" si="0"/>
        <v>Sabit</v>
      </c>
    </row>
    <row r="19" spans="1:11" x14ac:dyDescent="0.3">
      <c r="A19" s="9" t="s">
        <v>6</v>
      </c>
      <c r="B19" s="47" t="s">
        <v>75</v>
      </c>
      <c r="C19" s="8" t="s">
        <v>606</v>
      </c>
      <c r="D19" s="8" t="s">
        <v>599</v>
      </c>
      <c r="E19" s="8"/>
      <c r="F19" s="8"/>
      <c r="G19" s="8"/>
      <c r="H19" s="10">
        <v>2.4</v>
      </c>
      <c r="I19" s="54">
        <f>VLOOKUP(A19,İstasyonlar!$A$2:$D$776,4,0)</f>
        <v>999999999</v>
      </c>
      <c r="J19" s="54">
        <f t="shared" si="1"/>
        <v>8</v>
      </c>
      <c r="K19" t="str">
        <f t="shared" si="0"/>
        <v>Sabit</v>
      </c>
    </row>
    <row r="20" spans="1:11" x14ac:dyDescent="0.3">
      <c r="A20" s="9" t="s">
        <v>6</v>
      </c>
      <c r="B20" s="47" t="s">
        <v>76</v>
      </c>
      <c r="C20" s="8" t="s">
        <v>606</v>
      </c>
      <c r="D20" s="8" t="s">
        <v>599</v>
      </c>
      <c r="E20" s="8"/>
      <c r="F20" s="8"/>
      <c r="G20" s="8"/>
      <c r="H20" s="10">
        <v>2.7</v>
      </c>
      <c r="I20" s="54">
        <f>VLOOKUP(A20,İstasyonlar!$A$2:$D$776,4,0)</f>
        <v>999999999</v>
      </c>
      <c r="J20" s="54">
        <f t="shared" si="1"/>
        <v>8</v>
      </c>
      <c r="K20" t="str">
        <f t="shared" si="0"/>
        <v>Sabit</v>
      </c>
    </row>
    <row r="21" spans="1:11" x14ac:dyDescent="0.3">
      <c r="A21" s="9" t="s">
        <v>7</v>
      </c>
      <c r="B21" s="47" t="s">
        <v>77</v>
      </c>
      <c r="C21" s="8" t="s">
        <v>607</v>
      </c>
      <c r="D21" s="8" t="s">
        <v>608</v>
      </c>
      <c r="E21" s="8"/>
      <c r="F21" s="8"/>
      <c r="G21" s="8" t="s">
        <v>596</v>
      </c>
      <c r="H21" s="10">
        <v>9.1999999999999993</v>
      </c>
      <c r="I21" s="54">
        <f>VLOOKUP(A21,İstasyonlar!$A$2:$D$776,4,0)</f>
        <v>999999999</v>
      </c>
      <c r="J21" s="54">
        <f t="shared" si="1"/>
        <v>9</v>
      </c>
      <c r="K21" t="str">
        <f t="shared" si="0"/>
        <v>Sabit</v>
      </c>
    </row>
    <row r="22" spans="1:11" x14ac:dyDescent="0.3">
      <c r="A22" s="9" t="s">
        <v>7</v>
      </c>
      <c r="B22" s="47" t="s">
        <v>78</v>
      </c>
      <c r="C22" s="8" t="s">
        <v>607</v>
      </c>
      <c r="D22" s="8" t="s">
        <v>608</v>
      </c>
      <c r="E22" s="8"/>
      <c r="F22" s="8"/>
      <c r="G22" s="8" t="s">
        <v>596</v>
      </c>
      <c r="H22" s="10">
        <v>9.1999999999999993</v>
      </c>
      <c r="I22" s="54">
        <f>VLOOKUP(A22,İstasyonlar!$A$2:$D$776,4,0)</f>
        <v>999999999</v>
      </c>
      <c r="J22" s="54">
        <f t="shared" si="1"/>
        <v>9</v>
      </c>
      <c r="K22" t="str">
        <f t="shared" si="0"/>
        <v>Sabit</v>
      </c>
    </row>
    <row r="23" spans="1:11" x14ac:dyDescent="0.3">
      <c r="A23" s="9" t="s">
        <v>291</v>
      </c>
      <c r="B23" s="47" t="s">
        <v>292</v>
      </c>
      <c r="C23" s="8" t="s">
        <v>608</v>
      </c>
      <c r="D23" s="8" t="s">
        <v>607</v>
      </c>
      <c r="E23" s="8" t="s">
        <v>606</v>
      </c>
      <c r="F23" s="8"/>
      <c r="G23" s="8"/>
      <c r="H23" s="10">
        <v>9.1999999999999993</v>
      </c>
      <c r="I23" s="54">
        <f>VLOOKUP(A23,İstasyonlar!$A$2:$D$776,4,0)</f>
        <v>999999999</v>
      </c>
      <c r="J23" s="54">
        <f t="shared" si="1"/>
        <v>10</v>
      </c>
      <c r="K23" t="str">
        <f t="shared" si="0"/>
        <v>Sabit</v>
      </c>
    </row>
    <row r="24" spans="1:11" x14ac:dyDescent="0.3">
      <c r="A24" s="9" t="s">
        <v>291</v>
      </c>
      <c r="B24" s="47" t="s">
        <v>293</v>
      </c>
      <c r="C24" s="8" t="s">
        <v>608</v>
      </c>
      <c r="D24" s="8" t="s">
        <v>607</v>
      </c>
      <c r="E24" s="8" t="s">
        <v>606</v>
      </c>
      <c r="F24" s="8"/>
      <c r="G24" s="8"/>
      <c r="H24" s="10">
        <v>9.1999999999999993</v>
      </c>
      <c r="I24" s="54">
        <f>VLOOKUP(A24,İstasyonlar!$A$2:$D$776,4,0)</f>
        <v>999999999</v>
      </c>
      <c r="J24" s="54">
        <f t="shared" si="1"/>
        <v>10</v>
      </c>
      <c r="K24" t="str">
        <f t="shared" si="0"/>
        <v>Sabit</v>
      </c>
    </row>
    <row r="25" spans="1:11" x14ac:dyDescent="0.3">
      <c r="A25" s="9" t="s">
        <v>8</v>
      </c>
      <c r="B25" s="47" t="s">
        <v>81</v>
      </c>
      <c r="C25" s="8" t="s">
        <v>609</v>
      </c>
      <c r="D25" s="8"/>
      <c r="E25" s="8"/>
      <c r="F25" s="8"/>
      <c r="G25" s="8"/>
      <c r="H25" s="10">
        <v>5.5</v>
      </c>
      <c r="I25" s="54">
        <f>VLOOKUP(A25,İstasyonlar!$A$2:$D$776,4,0)</f>
        <v>999999999</v>
      </c>
      <c r="J25" s="54">
        <f t="shared" si="1"/>
        <v>11</v>
      </c>
      <c r="K25" t="str">
        <f t="shared" si="0"/>
        <v>Sabit</v>
      </c>
    </row>
    <row r="26" spans="1:11" x14ac:dyDescent="0.3">
      <c r="A26" s="9" t="s">
        <v>8</v>
      </c>
      <c r="B26" s="47" t="s">
        <v>340</v>
      </c>
      <c r="C26" s="8" t="s">
        <v>609</v>
      </c>
      <c r="D26" s="8"/>
      <c r="E26" s="8"/>
      <c r="F26" s="8"/>
      <c r="G26" s="8"/>
      <c r="H26" s="10">
        <v>3.1</v>
      </c>
      <c r="I26" s="54">
        <f>VLOOKUP(A26,İstasyonlar!$A$2:$D$776,4,0)</f>
        <v>999999999</v>
      </c>
      <c r="J26" s="54">
        <f t="shared" si="1"/>
        <v>11</v>
      </c>
      <c r="K26" t="str">
        <f t="shared" si="0"/>
        <v>Sabit</v>
      </c>
    </row>
    <row r="27" spans="1:11" x14ac:dyDescent="0.3">
      <c r="A27" s="9" t="s">
        <v>8</v>
      </c>
      <c r="B27" s="47" t="s">
        <v>341</v>
      </c>
      <c r="C27" s="8" t="s">
        <v>609</v>
      </c>
      <c r="D27" s="8"/>
      <c r="E27" s="8"/>
      <c r="F27" s="8"/>
      <c r="G27" s="8"/>
      <c r="H27" s="10">
        <v>4.5</v>
      </c>
      <c r="I27" s="54">
        <f>VLOOKUP(A27,İstasyonlar!$A$2:$D$776,4,0)</f>
        <v>999999999</v>
      </c>
      <c r="J27" s="54">
        <f t="shared" si="1"/>
        <v>11</v>
      </c>
      <c r="K27" t="str">
        <f t="shared" si="0"/>
        <v>Sabit</v>
      </c>
    </row>
    <row r="28" spans="1:11" x14ac:dyDescent="0.3">
      <c r="A28" s="9" t="s">
        <v>8</v>
      </c>
      <c r="B28" s="47" t="s">
        <v>80</v>
      </c>
      <c r="C28" s="8" t="s">
        <v>609</v>
      </c>
      <c r="D28" s="8"/>
      <c r="E28" s="8"/>
      <c r="F28" s="8"/>
      <c r="G28" s="8"/>
      <c r="H28" s="10">
        <v>2.7</v>
      </c>
      <c r="I28" s="54">
        <f>VLOOKUP(A28,İstasyonlar!$A$2:$D$776,4,0)</f>
        <v>999999999</v>
      </c>
      <c r="J28" s="54">
        <f t="shared" si="1"/>
        <v>11</v>
      </c>
      <c r="K28" t="str">
        <f t="shared" si="0"/>
        <v>Sabit</v>
      </c>
    </row>
    <row r="29" spans="1:11" x14ac:dyDescent="0.3">
      <c r="A29" s="9" t="s">
        <v>9</v>
      </c>
      <c r="B29" s="47" t="s">
        <v>83</v>
      </c>
      <c r="C29" s="8" t="s">
        <v>610</v>
      </c>
      <c r="D29" s="8" t="s">
        <v>611</v>
      </c>
      <c r="E29" s="8"/>
      <c r="F29" s="8"/>
      <c r="G29" s="8"/>
      <c r="H29" s="10">
        <v>3.9</v>
      </c>
      <c r="I29" s="54">
        <f>VLOOKUP(A29,İstasyonlar!$A$2:$D$776,4,0)</f>
        <v>1000000</v>
      </c>
      <c r="J29" s="54">
        <f t="shared" si="1"/>
        <v>12</v>
      </c>
      <c r="K29" t="str">
        <f t="shared" si="0"/>
        <v/>
      </c>
    </row>
    <row r="30" spans="1:11" x14ac:dyDescent="0.3">
      <c r="A30" s="9" t="s">
        <v>9</v>
      </c>
      <c r="B30" s="47" t="s">
        <v>84</v>
      </c>
      <c r="C30" s="8" t="s">
        <v>610</v>
      </c>
      <c r="D30" s="8" t="s">
        <v>611</v>
      </c>
      <c r="E30" s="8"/>
      <c r="F30" s="8"/>
      <c r="G30" s="8"/>
      <c r="H30" s="10">
        <v>5.5</v>
      </c>
      <c r="I30" s="54">
        <f>VLOOKUP(A30,İstasyonlar!$A$2:$D$776,4,0)</f>
        <v>1000000</v>
      </c>
      <c r="J30" s="54">
        <f t="shared" si="1"/>
        <v>12</v>
      </c>
      <c r="K30" t="str">
        <f t="shared" si="0"/>
        <v/>
      </c>
    </row>
    <row r="31" spans="1:11" x14ac:dyDescent="0.3">
      <c r="A31" s="9" t="s">
        <v>9</v>
      </c>
      <c r="B31" s="47" t="s">
        <v>85</v>
      </c>
      <c r="C31" s="8" t="s">
        <v>610</v>
      </c>
      <c r="D31" s="8" t="s">
        <v>611</v>
      </c>
      <c r="E31" s="8"/>
      <c r="F31" s="8"/>
      <c r="G31" s="8"/>
      <c r="H31" s="10">
        <v>7.2</v>
      </c>
      <c r="I31" s="54">
        <f>VLOOKUP(A31,İstasyonlar!$A$2:$D$776,4,0)</f>
        <v>1000000</v>
      </c>
      <c r="J31" s="54">
        <f t="shared" si="1"/>
        <v>12</v>
      </c>
      <c r="K31" t="str">
        <f t="shared" si="0"/>
        <v/>
      </c>
    </row>
    <row r="32" spans="1:11" x14ac:dyDescent="0.3">
      <c r="A32" s="9" t="s">
        <v>13</v>
      </c>
      <c r="B32" s="47" t="s">
        <v>86</v>
      </c>
      <c r="C32" s="8" t="s">
        <v>612</v>
      </c>
      <c r="D32" s="8"/>
      <c r="E32" s="8"/>
      <c r="F32" s="8"/>
      <c r="G32" s="8"/>
      <c r="H32" s="10">
        <v>11.5</v>
      </c>
      <c r="I32" s="54">
        <f>VLOOKUP(A32,İstasyonlar!$A$2:$D$776,4,0)</f>
        <v>1000000</v>
      </c>
      <c r="J32" s="54">
        <f t="shared" si="1"/>
        <v>13</v>
      </c>
      <c r="K32" t="str">
        <f t="shared" si="0"/>
        <v/>
      </c>
    </row>
    <row r="33" spans="1:11" x14ac:dyDescent="0.3">
      <c r="A33" s="9" t="s">
        <v>14</v>
      </c>
      <c r="B33" s="47" t="s">
        <v>87</v>
      </c>
      <c r="C33" s="8" t="s">
        <v>613</v>
      </c>
      <c r="D33" s="8" t="s">
        <v>612</v>
      </c>
      <c r="E33" s="8"/>
      <c r="F33" s="8"/>
      <c r="G33" s="8"/>
      <c r="H33" s="10">
        <v>6.2</v>
      </c>
      <c r="I33" s="54">
        <f>VLOOKUP(A33,İstasyonlar!$A$2:$D$776,4,0)</f>
        <v>1000000</v>
      </c>
      <c r="J33" s="54">
        <f t="shared" si="1"/>
        <v>14</v>
      </c>
      <c r="K33" t="str">
        <f t="shared" si="0"/>
        <v/>
      </c>
    </row>
    <row r="34" spans="1:11" x14ac:dyDescent="0.3">
      <c r="A34" s="9" t="s">
        <v>14</v>
      </c>
      <c r="B34" s="47" t="s">
        <v>88</v>
      </c>
      <c r="C34" s="8" t="s">
        <v>613</v>
      </c>
      <c r="D34" s="8" t="s">
        <v>612</v>
      </c>
      <c r="E34" s="8"/>
      <c r="F34" s="8"/>
      <c r="G34" s="8"/>
      <c r="H34" s="10">
        <v>3.1</v>
      </c>
      <c r="I34" s="54">
        <f>VLOOKUP(A34,İstasyonlar!$A$2:$D$776,4,0)</f>
        <v>1000000</v>
      </c>
      <c r="J34" s="54">
        <f t="shared" si="1"/>
        <v>14</v>
      </c>
      <c r="K34" t="str">
        <f t="shared" si="0"/>
        <v/>
      </c>
    </row>
    <row r="35" spans="1:11" x14ac:dyDescent="0.3">
      <c r="A35" s="9" t="s">
        <v>12</v>
      </c>
      <c r="B35" s="47" t="s">
        <v>89</v>
      </c>
      <c r="C35" s="8" t="s">
        <v>614</v>
      </c>
      <c r="D35" s="8"/>
      <c r="E35" s="8"/>
      <c r="F35" s="8"/>
      <c r="G35" s="8"/>
      <c r="H35" s="10">
        <v>3.2</v>
      </c>
      <c r="I35" s="54">
        <f>VLOOKUP(A35,İstasyonlar!$A$2:$D$776,4,0)</f>
        <v>999999999</v>
      </c>
      <c r="J35" s="54">
        <f t="shared" si="1"/>
        <v>15</v>
      </c>
      <c r="K35" t="str">
        <f t="shared" si="0"/>
        <v>Sabit</v>
      </c>
    </row>
    <row r="36" spans="1:11" x14ac:dyDescent="0.3">
      <c r="A36" s="9" t="s">
        <v>12</v>
      </c>
      <c r="B36" s="47" t="s">
        <v>90</v>
      </c>
      <c r="C36" s="8" t="s">
        <v>614</v>
      </c>
      <c r="D36" s="8"/>
      <c r="E36" s="8"/>
      <c r="F36" s="8"/>
      <c r="G36" s="8"/>
      <c r="H36" s="10">
        <v>5.5</v>
      </c>
      <c r="I36" s="54">
        <f>VLOOKUP(A36,İstasyonlar!$A$2:$D$776,4,0)</f>
        <v>999999999</v>
      </c>
      <c r="J36" s="54">
        <f t="shared" si="1"/>
        <v>15</v>
      </c>
      <c r="K36" t="str">
        <f t="shared" si="0"/>
        <v>Sabit</v>
      </c>
    </row>
    <row r="37" spans="1:11" x14ac:dyDescent="0.3">
      <c r="A37" s="9" t="s">
        <v>12</v>
      </c>
      <c r="B37" s="47" t="s">
        <v>91</v>
      </c>
      <c r="C37" s="8" t="s">
        <v>614</v>
      </c>
      <c r="D37" s="8"/>
      <c r="E37" s="8"/>
      <c r="F37" s="8"/>
      <c r="G37" s="8"/>
      <c r="H37" s="10">
        <v>5</v>
      </c>
      <c r="I37" s="54">
        <f>VLOOKUP(A37,İstasyonlar!$A$2:$D$776,4,0)</f>
        <v>999999999</v>
      </c>
      <c r="J37" s="54">
        <f t="shared" si="1"/>
        <v>15</v>
      </c>
      <c r="K37" t="str">
        <f t="shared" si="0"/>
        <v>Sabit</v>
      </c>
    </row>
    <row r="38" spans="1:11" x14ac:dyDescent="0.3">
      <c r="A38" s="9" t="s">
        <v>11</v>
      </c>
      <c r="B38" s="47" t="s">
        <v>92</v>
      </c>
      <c r="C38" s="8" t="s">
        <v>615</v>
      </c>
      <c r="D38" s="8"/>
      <c r="E38" s="8"/>
      <c r="F38" s="8"/>
      <c r="G38" s="8"/>
      <c r="H38" s="10">
        <v>6</v>
      </c>
      <c r="I38" s="54">
        <f>VLOOKUP(A38,İstasyonlar!$A$2:$D$776,4,0)</f>
        <v>999999999</v>
      </c>
      <c r="J38" s="54">
        <f t="shared" si="1"/>
        <v>16</v>
      </c>
      <c r="K38" t="str">
        <f t="shared" si="0"/>
        <v>Sabit</v>
      </c>
    </row>
    <row r="39" spans="1:11" x14ac:dyDescent="0.3">
      <c r="A39" s="9" t="s">
        <v>11</v>
      </c>
      <c r="B39" s="47" t="s">
        <v>94</v>
      </c>
      <c r="C39" s="8" t="s">
        <v>615</v>
      </c>
      <c r="D39" s="8"/>
      <c r="E39" s="8"/>
      <c r="F39" s="8"/>
      <c r="G39" s="8"/>
      <c r="H39" s="10">
        <v>8.1</v>
      </c>
      <c r="I39" s="54">
        <f>VLOOKUP(A39,İstasyonlar!$A$2:$D$776,4,0)</f>
        <v>999999999</v>
      </c>
      <c r="J39" s="54">
        <f t="shared" si="1"/>
        <v>16</v>
      </c>
      <c r="K39" t="str">
        <f t="shared" si="0"/>
        <v>Sabit</v>
      </c>
    </row>
    <row r="40" spans="1:11" x14ac:dyDescent="0.3">
      <c r="A40" s="9" t="s">
        <v>11</v>
      </c>
      <c r="B40" s="47" t="s">
        <v>95</v>
      </c>
      <c r="C40" s="8" t="s">
        <v>615</v>
      </c>
      <c r="D40" s="8"/>
      <c r="E40" s="8"/>
      <c r="F40" s="8"/>
      <c r="G40" s="8"/>
      <c r="H40" s="10">
        <v>3.8</v>
      </c>
      <c r="I40" s="54">
        <f>VLOOKUP(A40,İstasyonlar!$A$2:$D$776,4,0)</f>
        <v>999999999</v>
      </c>
      <c r="J40" s="54">
        <f t="shared" si="1"/>
        <v>16</v>
      </c>
      <c r="K40" t="str">
        <f t="shared" si="0"/>
        <v>Sabit</v>
      </c>
    </row>
    <row r="41" spans="1:11" x14ac:dyDescent="0.3">
      <c r="A41" s="9" t="s">
        <v>10</v>
      </c>
      <c r="B41" s="47" t="s">
        <v>348</v>
      </c>
      <c r="C41" s="8" t="s">
        <v>616</v>
      </c>
      <c r="D41" s="8" t="s">
        <v>604</v>
      </c>
      <c r="E41" s="8"/>
      <c r="F41" s="8"/>
      <c r="G41" s="8"/>
      <c r="H41" s="10">
        <v>3.1</v>
      </c>
      <c r="I41" s="54">
        <f>VLOOKUP(A41,İstasyonlar!$A$2:$D$776,4,0)</f>
        <v>999999999</v>
      </c>
      <c r="J41" s="54">
        <f t="shared" si="1"/>
        <v>17</v>
      </c>
      <c r="K41" t="str">
        <f t="shared" si="0"/>
        <v>Sabit</v>
      </c>
    </row>
    <row r="42" spans="1:11" x14ac:dyDescent="0.3">
      <c r="A42" s="9" t="s">
        <v>10</v>
      </c>
      <c r="B42" s="47" t="s">
        <v>349</v>
      </c>
      <c r="C42" s="8" t="s">
        <v>616</v>
      </c>
      <c r="D42" s="8" t="s">
        <v>604</v>
      </c>
      <c r="E42" s="8"/>
      <c r="F42" s="8"/>
      <c r="G42" s="8"/>
      <c r="H42" s="10">
        <v>4.0999999999999996</v>
      </c>
      <c r="I42" s="54">
        <f>VLOOKUP(A42,İstasyonlar!$A$2:$D$776,4,0)</f>
        <v>999999999</v>
      </c>
      <c r="J42" s="54">
        <f t="shared" si="1"/>
        <v>17</v>
      </c>
      <c r="K42" t="str">
        <f t="shared" si="0"/>
        <v>Sabit</v>
      </c>
    </row>
    <row r="43" spans="1:11" x14ac:dyDescent="0.3">
      <c r="A43" s="9" t="s">
        <v>10</v>
      </c>
      <c r="B43" s="47" t="s">
        <v>350</v>
      </c>
      <c r="C43" s="8" t="s">
        <v>616</v>
      </c>
      <c r="D43" s="8" t="s">
        <v>604</v>
      </c>
      <c r="E43" s="8"/>
      <c r="F43" s="8"/>
      <c r="G43" s="8"/>
      <c r="H43" s="10">
        <v>2.8</v>
      </c>
      <c r="I43" s="54">
        <f>VLOOKUP(A43,İstasyonlar!$A$2:$D$776,4,0)</f>
        <v>999999999</v>
      </c>
      <c r="J43" s="54">
        <f t="shared" si="1"/>
        <v>17</v>
      </c>
      <c r="K43" t="str">
        <f t="shared" si="0"/>
        <v>Sabit</v>
      </c>
    </row>
    <row r="44" spans="1:11" x14ac:dyDescent="0.3">
      <c r="A44" s="9" t="s">
        <v>15</v>
      </c>
      <c r="B44" s="47" t="s">
        <v>99</v>
      </c>
      <c r="C44" s="8" t="s">
        <v>617</v>
      </c>
      <c r="D44" s="8" t="s">
        <v>618</v>
      </c>
      <c r="E44" s="8" t="s">
        <v>619</v>
      </c>
      <c r="F44" s="8"/>
      <c r="G44" s="8"/>
      <c r="H44" s="10">
        <v>2.1</v>
      </c>
      <c r="I44" s="54">
        <f>VLOOKUP(A44,İstasyonlar!$A$2:$D$776,4,0)</f>
        <v>999999999</v>
      </c>
      <c r="J44" s="54">
        <f t="shared" si="1"/>
        <v>18</v>
      </c>
      <c r="K44" t="str">
        <f t="shared" si="0"/>
        <v>Sabit</v>
      </c>
    </row>
    <row r="45" spans="1:11" x14ac:dyDescent="0.3">
      <c r="A45" s="9" t="s">
        <v>15</v>
      </c>
      <c r="B45" s="47" t="s">
        <v>100</v>
      </c>
      <c r="C45" s="8" t="s">
        <v>617</v>
      </c>
      <c r="D45" s="8" t="s">
        <v>618</v>
      </c>
      <c r="E45" s="8" t="s">
        <v>619</v>
      </c>
      <c r="F45" s="8"/>
      <c r="G45" s="8"/>
      <c r="H45" s="10">
        <v>1.8</v>
      </c>
      <c r="I45" s="54">
        <f>VLOOKUP(A45,İstasyonlar!$A$2:$D$776,4,0)</f>
        <v>999999999</v>
      </c>
      <c r="J45" s="54">
        <f t="shared" si="1"/>
        <v>18</v>
      </c>
      <c r="K45" t="str">
        <f t="shared" si="0"/>
        <v>Sabit</v>
      </c>
    </row>
    <row r="46" spans="1:11" x14ac:dyDescent="0.3">
      <c r="A46" s="9" t="s">
        <v>15</v>
      </c>
      <c r="B46" s="47" t="s">
        <v>101</v>
      </c>
      <c r="C46" s="8" t="s">
        <v>617</v>
      </c>
      <c r="D46" s="8" t="s">
        <v>618</v>
      </c>
      <c r="E46" s="8" t="s">
        <v>619</v>
      </c>
      <c r="F46" s="8"/>
      <c r="G46" s="8"/>
      <c r="H46" s="10">
        <v>3.2</v>
      </c>
      <c r="I46" s="54">
        <f>VLOOKUP(A46,İstasyonlar!$A$2:$D$776,4,0)</f>
        <v>999999999</v>
      </c>
      <c r="J46" s="54">
        <f t="shared" si="1"/>
        <v>18</v>
      </c>
      <c r="K46" t="str">
        <f t="shared" si="0"/>
        <v>Sabit</v>
      </c>
    </row>
    <row r="47" spans="1:11" x14ac:dyDescent="0.3">
      <c r="A47" s="9" t="s">
        <v>16</v>
      </c>
      <c r="B47" s="47" t="s">
        <v>106</v>
      </c>
      <c r="C47" s="8" t="s">
        <v>619</v>
      </c>
      <c r="D47" s="8"/>
      <c r="E47" s="8"/>
      <c r="F47" s="8" t="s">
        <v>617</v>
      </c>
      <c r="G47" s="8"/>
      <c r="H47" s="10">
        <v>4.5</v>
      </c>
      <c r="I47" s="54">
        <f>VLOOKUP(A47,İstasyonlar!$A$2:$D$776,4,0)</f>
        <v>1000000</v>
      </c>
      <c r="J47" s="54">
        <f t="shared" si="1"/>
        <v>19</v>
      </c>
      <c r="K47" t="str">
        <f t="shared" si="0"/>
        <v/>
      </c>
    </row>
    <row r="48" spans="1:11" x14ac:dyDescent="0.3">
      <c r="A48" s="9" t="s">
        <v>16</v>
      </c>
      <c r="B48" s="47" t="s">
        <v>105</v>
      </c>
      <c r="C48" s="8" t="s">
        <v>619</v>
      </c>
      <c r="D48" s="8"/>
      <c r="E48" s="8"/>
      <c r="F48" s="8" t="s">
        <v>617</v>
      </c>
      <c r="G48" s="8"/>
      <c r="H48" s="10">
        <v>6.8</v>
      </c>
      <c r="I48" s="54">
        <f>VLOOKUP(A48,İstasyonlar!$A$2:$D$776,4,0)</f>
        <v>1000000</v>
      </c>
      <c r="J48" s="54">
        <f t="shared" si="1"/>
        <v>19</v>
      </c>
      <c r="K48" t="str">
        <f t="shared" si="0"/>
        <v/>
      </c>
    </row>
    <row r="49" spans="1:11" x14ac:dyDescent="0.3">
      <c r="A49" s="9" t="s">
        <v>17</v>
      </c>
      <c r="B49" s="47" t="s">
        <v>108</v>
      </c>
      <c r="C49" s="8" t="s">
        <v>618</v>
      </c>
      <c r="D49" s="8" t="s">
        <v>619</v>
      </c>
      <c r="E49" s="8" t="s">
        <v>620</v>
      </c>
      <c r="F49" s="8"/>
      <c r="G49" s="8"/>
      <c r="H49" s="10">
        <v>3.1</v>
      </c>
      <c r="I49" s="54">
        <f>VLOOKUP(A49,İstasyonlar!$A$2:$D$776,4,0)</f>
        <v>1000000</v>
      </c>
      <c r="J49" s="54">
        <f t="shared" si="1"/>
        <v>20</v>
      </c>
      <c r="K49" t="str">
        <f t="shared" si="0"/>
        <v/>
      </c>
    </row>
    <row r="50" spans="1:11" x14ac:dyDescent="0.3">
      <c r="A50" s="9" t="s">
        <v>17</v>
      </c>
      <c r="B50" s="47" t="s">
        <v>109</v>
      </c>
      <c r="C50" s="8" t="s">
        <v>618</v>
      </c>
      <c r="D50" s="8" t="s">
        <v>619</v>
      </c>
      <c r="E50" s="8" t="s">
        <v>620</v>
      </c>
      <c r="F50" s="8"/>
      <c r="G50" s="8"/>
      <c r="H50" s="10">
        <v>2.5</v>
      </c>
      <c r="I50" s="54">
        <f>VLOOKUP(A50,İstasyonlar!$A$2:$D$776,4,0)</f>
        <v>1000000</v>
      </c>
      <c r="J50" s="54">
        <f t="shared" si="1"/>
        <v>20</v>
      </c>
      <c r="K50" t="str">
        <f t="shared" si="0"/>
        <v/>
      </c>
    </row>
    <row r="51" spans="1:11" x14ac:dyDescent="0.3">
      <c r="A51" s="9" t="s">
        <v>17</v>
      </c>
      <c r="B51" s="47" t="s">
        <v>110</v>
      </c>
      <c r="C51" s="8" t="s">
        <v>618</v>
      </c>
      <c r="D51" s="8" t="s">
        <v>619</v>
      </c>
      <c r="E51" s="8" t="s">
        <v>620</v>
      </c>
      <c r="F51" s="8"/>
      <c r="G51" s="8"/>
      <c r="H51" s="10">
        <v>3.1</v>
      </c>
      <c r="I51" s="54">
        <f>VLOOKUP(A51,İstasyonlar!$A$2:$D$776,4,0)</f>
        <v>1000000</v>
      </c>
      <c r="J51" s="54">
        <f t="shared" si="1"/>
        <v>20</v>
      </c>
      <c r="K51" t="str">
        <f t="shared" si="0"/>
        <v/>
      </c>
    </row>
    <row r="52" spans="1:11" x14ac:dyDescent="0.3">
      <c r="A52" s="9" t="s">
        <v>17</v>
      </c>
      <c r="B52" s="47" t="s">
        <v>111</v>
      </c>
      <c r="C52" s="8" t="s">
        <v>618</v>
      </c>
      <c r="D52" s="8" t="s">
        <v>619</v>
      </c>
      <c r="E52" s="8" t="s">
        <v>620</v>
      </c>
      <c r="F52" s="8"/>
      <c r="G52" s="8"/>
      <c r="H52" s="10">
        <v>5.5</v>
      </c>
      <c r="I52" s="54">
        <f>VLOOKUP(A52,İstasyonlar!$A$2:$D$776,4,0)</f>
        <v>1000000</v>
      </c>
      <c r="J52" s="54">
        <f t="shared" si="1"/>
        <v>20</v>
      </c>
      <c r="K52" t="str">
        <f t="shared" si="0"/>
        <v/>
      </c>
    </row>
    <row r="53" spans="1:11" x14ac:dyDescent="0.3">
      <c r="A53" s="9" t="s">
        <v>20</v>
      </c>
      <c r="B53" s="47" t="s">
        <v>112</v>
      </c>
      <c r="C53" s="8" t="s">
        <v>621</v>
      </c>
      <c r="D53" s="8"/>
      <c r="E53" s="8"/>
      <c r="F53" s="8"/>
      <c r="G53" s="8"/>
      <c r="H53" s="10">
        <v>4.5</v>
      </c>
      <c r="I53" s="54">
        <f>VLOOKUP(A53,İstasyonlar!$A$2:$D$776,4,0)</f>
        <v>1000000</v>
      </c>
      <c r="J53" s="54">
        <f t="shared" si="1"/>
        <v>21</v>
      </c>
      <c r="K53" t="str">
        <f t="shared" si="0"/>
        <v/>
      </c>
    </row>
    <row r="54" spans="1:11" x14ac:dyDescent="0.3">
      <c r="A54" s="9" t="s">
        <v>20</v>
      </c>
      <c r="B54" s="47" t="s">
        <v>113</v>
      </c>
      <c r="C54" s="8" t="s">
        <v>621</v>
      </c>
      <c r="D54" s="8"/>
      <c r="E54" s="8"/>
      <c r="F54" s="8"/>
      <c r="G54" s="8"/>
      <c r="H54" s="10">
        <v>3.8</v>
      </c>
      <c r="I54" s="54">
        <f>VLOOKUP(A54,İstasyonlar!$A$2:$D$776,4,0)</f>
        <v>1000000</v>
      </c>
      <c r="J54" s="54">
        <f t="shared" si="1"/>
        <v>21</v>
      </c>
      <c r="K54" t="str">
        <f t="shared" si="0"/>
        <v/>
      </c>
    </row>
    <row r="55" spans="1:11" x14ac:dyDescent="0.3">
      <c r="A55" s="9" t="s">
        <v>20</v>
      </c>
      <c r="B55" s="47" t="s">
        <v>114</v>
      </c>
      <c r="C55" s="8" t="s">
        <v>621</v>
      </c>
      <c r="D55" s="8"/>
      <c r="E55" s="8"/>
      <c r="F55" s="8"/>
      <c r="G55" s="8"/>
      <c r="H55" s="10">
        <v>3.6</v>
      </c>
      <c r="I55" s="54">
        <f>VLOOKUP(A55,İstasyonlar!$A$2:$D$776,4,0)</f>
        <v>1000000</v>
      </c>
      <c r="J55" s="54">
        <f t="shared" si="1"/>
        <v>21</v>
      </c>
      <c r="K55" t="str">
        <f t="shared" si="0"/>
        <v/>
      </c>
    </row>
    <row r="56" spans="1:11" x14ac:dyDescent="0.3">
      <c r="A56" s="9" t="s">
        <v>20</v>
      </c>
      <c r="B56" s="47" t="s">
        <v>115</v>
      </c>
      <c r="C56" s="8" t="s">
        <v>621</v>
      </c>
      <c r="D56" s="8"/>
      <c r="E56" s="8"/>
      <c r="F56" s="8"/>
      <c r="G56" s="8"/>
      <c r="H56" s="10">
        <v>3.4</v>
      </c>
      <c r="I56" s="54">
        <f>VLOOKUP(A56,İstasyonlar!$A$2:$D$776,4,0)</f>
        <v>1000000</v>
      </c>
      <c r="J56" s="54">
        <f t="shared" si="1"/>
        <v>21</v>
      </c>
      <c r="K56" t="str">
        <f t="shared" si="0"/>
        <v/>
      </c>
    </row>
    <row r="57" spans="1:11" x14ac:dyDescent="0.3">
      <c r="A57" s="9" t="s">
        <v>20</v>
      </c>
      <c r="B57" s="47" t="s">
        <v>116</v>
      </c>
      <c r="C57" s="8" t="s">
        <v>621</v>
      </c>
      <c r="D57" s="8"/>
      <c r="E57" s="8"/>
      <c r="F57" s="8"/>
      <c r="G57" s="8"/>
      <c r="H57" s="10">
        <v>3.8</v>
      </c>
      <c r="I57" s="54">
        <f>VLOOKUP(A57,İstasyonlar!$A$2:$D$776,4,0)</f>
        <v>1000000</v>
      </c>
      <c r="J57" s="54">
        <f t="shared" si="1"/>
        <v>21</v>
      </c>
      <c r="K57" t="str">
        <f t="shared" si="0"/>
        <v/>
      </c>
    </row>
    <row r="58" spans="1:11" x14ac:dyDescent="0.3">
      <c r="A58" s="9" t="s">
        <v>20</v>
      </c>
      <c r="B58" s="47" t="s">
        <v>117</v>
      </c>
      <c r="C58" s="8" t="s">
        <v>621</v>
      </c>
      <c r="D58" s="8"/>
      <c r="E58" s="8"/>
      <c r="F58" s="8"/>
      <c r="G58" s="8"/>
      <c r="H58" s="10">
        <v>3.1</v>
      </c>
      <c r="I58" s="54">
        <f>VLOOKUP(A58,İstasyonlar!$A$2:$D$776,4,0)</f>
        <v>1000000</v>
      </c>
      <c r="J58" s="54">
        <f t="shared" si="1"/>
        <v>21</v>
      </c>
      <c r="K58" t="str">
        <f t="shared" si="0"/>
        <v/>
      </c>
    </row>
    <row r="59" spans="1:11" x14ac:dyDescent="0.3">
      <c r="A59" s="9" t="s">
        <v>21</v>
      </c>
      <c r="B59" s="47" t="s">
        <v>119</v>
      </c>
      <c r="C59" s="8" t="s">
        <v>602</v>
      </c>
      <c r="D59" s="8" t="s">
        <v>601</v>
      </c>
      <c r="E59" s="8"/>
      <c r="F59" s="8"/>
      <c r="G59" s="8"/>
      <c r="H59" s="10">
        <v>8.8000000000000007</v>
      </c>
      <c r="I59" s="54">
        <f>VLOOKUP(A59,İstasyonlar!$A$2:$D$776,4,0)</f>
        <v>1000000</v>
      </c>
      <c r="J59" s="54">
        <f t="shared" si="1"/>
        <v>22</v>
      </c>
      <c r="K59" t="str">
        <f t="shared" si="0"/>
        <v/>
      </c>
    </row>
    <row r="60" spans="1:11" x14ac:dyDescent="0.3">
      <c r="A60" s="9" t="s">
        <v>21</v>
      </c>
      <c r="B60" s="47" t="s">
        <v>120</v>
      </c>
      <c r="C60" s="8" t="s">
        <v>602</v>
      </c>
      <c r="D60" s="8" t="s">
        <v>601</v>
      </c>
      <c r="E60" s="8"/>
      <c r="F60" s="8"/>
      <c r="G60" s="8"/>
      <c r="H60" s="10">
        <v>4.0999999999999996</v>
      </c>
      <c r="I60" s="54">
        <f>VLOOKUP(A60,İstasyonlar!$A$2:$D$776,4,0)</f>
        <v>1000000</v>
      </c>
      <c r="J60" s="54">
        <f t="shared" si="1"/>
        <v>22</v>
      </c>
      <c r="K60" t="str">
        <f t="shared" si="0"/>
        <v/>
      </c>
    </row>
    <row r="61" spans="1:11" x14ac:dyDescent="0.3">
      <c r="A61" s="9" t="s">
        <v>22</v>
      </c>
      <c r="B61" s="47" t="s">
        <v>121</v>
      </c>
      <c r="C61" s="8" t="s">
        <v>603</v>
      </c>
      <c r="D61" s="8" t="s">
        <v>622</v>
      </c>
      <c r="E61" s="8"/>
      <c r="F61" s="8"/>
      <c r="G61" s="8"/>
      <c r="H61" s="10">
        <v>4.4000000000000004</v>
      </c>
      <c r="I61" s="54">
        <f>VLOOKUP(A61,İstasyonlar!$A$2:$D$776,4,0)</f>
        <v>999999999</v>
      </c>
      <c r="J61" s="54">
        <f t="shared" si="1"/>
        <v>23</v>
      </c>
      <c r="K61" t="str">
        <f t="shared" si="0"/>
        <v>Sabit</v>
      </c>
    </row>
    <row r="62" spans="1:11" x14ac:dyDescent="0.3">
      <c r="A62" s="9" t="s">
        <v>22</v>
      </c>
      <c r="B62" s="47" t="s">
        <v>124</v>
      </c>
      <c r="C62" s="8" t="s">
        <v>603</v>
      </c>
      <c r="D62" s="8" t="s">
        <v>622</v>
      </c>
      <c r="E62" s="8"/>
      <c r="F62" s="8"/>
      <c r="G62" s="8"/>
      <c r="H62" s="10">
        <v>6.5</v>
      </c>
      <c r="I62" s="54">
        <f>VLOOKUP(A62,İstasyonlar!$A$2:$D$776,4,0)</f>
        <v>999999999</v>
      </c>
      <c r="J62" s="54">
        <f t="shared" si="1"/>
        <v>23</v>
      </c>
      <c r="K62" t="str">
        <f t="shared" si="0"/>
        <v>Sabit</v>
      </c>
    </row>
    <row r="63" spans="1:11" x14ac:dyDescent="0.3">
      <c r="A63" s="9" t="s">
        <v>23</v>
      </c>
      <c r="B63" s="47" t="s">
        <v>125</v>
      </c>
      <c r="C63" s="8" t="s">
        <v>622</v>
      </c>
      <c r="D63" s="8" t="s">
        <v>623</v>
      </c>
      <c r="E63" s="8" t="s">
        <v>624</v>
      </c>
      <c r="F63" s="8"/>
      <c r="G63" s="8"/>
      <c r="H63" s="10">
        <v>5.8</v>
      </c>
      <c r="I63" s="54">
        <f>VLOOKUP(A63,İstasyonlar!$A$2:$D$776,4,0)</f>
        <v>999999999</v>
      </c>
      <c r="J63" s="54">
        <f t="shared" si="1"/>
        <v>24</v>
      </c>
      <c r="K63" t="str">
        <f t="shared" si="0"/>
        <v>Sabit</v>
      </c>
    </row>
    <row r="64" spans="1:11" x14ac:dyDescent="0.3">
      <c r="A64" s="9" t="s">
        <v>23</v>
      </c>
      <c r="B64" s="47" t="s">
        <v>126</v>
      </c>
      <c r="C64" s="8" t="s">
        <v>622</v>
      </c>
      <c r="D64" s="8" t="s">
        <v>623</v>
      </c>
      <c r="E64" s="8" t="s">
        <v>624</v>
      </c>
      <c r="F64" s="8"/>
      <c r="G64" s="8"/>
      <c r="H64" s="10">
        <v>3.6</v>
      </c>
      <c r="I64" s="54">
        <f>VLOOKUP(A64,İstasyonlar!$A$2:$D$776,4,0)</f>
        <v>999999999</v>
      </c>
      <c r="J64" s="54">
        <f t="shared" si="1"/>
        <v>24</v>
      </c>
      <c r="K64" t="str">
        <f t="shared" si="0"/>
        <v>Sabit</v>
      </c>
    </row>
    <row r="65" spans="1:11" x14ac:dyDescent="0.3">
      <c r="A65" s="9" t="s">
        <v>23</v>
      </c>
      <c r="B65" s="47" t="s">
        <v>127</v>
      </c>
      <c r="C65" s="8" t="s">
        <v>622</v>
      </c>
      <c r="D65" s="8" t="s">
        <v>623</v>
      </c>
      <c r="E65" s="8" t="s">
        <v>624</v>
      </c>
      <c r="F65" s="8"/>
      <c r="G65" s="8"/>
      <c r="H65" s="10">
        <v>3.6</v>
      </c>
      <c r="I65" s="54">
        <f>VLOOKUP(A65,İstasyonlar!$A$2:$D$776,4,0)</f>
        <v>999999999</v>
      </c>
      <c r="J65" s="54">
        <f t="shared" si="1"/>
        <v>24</v>
      </c>
      <c r="K65" t="str">
        <f t="shared" si="0"/>
        <v>Sabit</v>
      </c>
    </row>
    <row r="66" spans="1:11" x14ac:dyDescent="0.3">
      <c r="A66" s="9" t="s">
        <v>23</v>
      </c>
      <c r="B66" s="47" t="s">
        <v>128</v>
      </c>
      <c r="C66" s="8" t="s">
        <v>622</v>
      </c>
      <c r="D66" s="8" t="s">
        <v>623</v>
      </c>
      <c r="E66" s="8" t="s">
        <v>624</v>
      </c>
      <c r="F66" s="8"/>
      <c r="G66" s="8"/>
      <c r="H66" s="10">
        <v>3.6</v>
      </c>
      <c r="I66" s="54">
        <f>VLOOKUP(A66,İstasyonlar!$A$2:$D$776,4,0)</f>
        <v>999999999</v>
      </c>
      <c r="J66" s="54">
        <f t="shared" si="1"/>
        <v>24</v>
      </c>
      <c r="K66" t="str">
        <f t="shared" ref="K66:K129" si="2">IF(I66=1000000,"","Sabit")</f>
        <v>Sabit</v>
      </c>
    </row>
    <row r="67" spans="1:11" x14ac:dyDescent="0.3">
      <c r="A67" s="9" t="s">
        <v>23</v>
      </c>
      <c r="B67" s="47" t="s">
        <v>130</v>
      </c>
      <c r="C67" s="8" t="s">
        <v>622</v>
      </c>
      <c r="D67" s="8" t="s">
        <v>623</v>
      </c>
      <c r="E67" s="8" t="s">
        <v>624</v>
      </c>
      <c r="F67" s="8"/>
      <c r="G67" s="8"/>
      <c r="H67" s="10">
        <v>3.1</v>
      </c>
      <c r="I67" s="54">
        <f>VLOOKUP(A67,İstasyonlar!$A$2:$D$776,4,0)</f>
        <v>999999999</v>
      </c>
      <c r="J67" s="54">
        <f t="shared" ref="J67:J130" si="3">IF(A67=A66, J66, J66+1)</f>
        <v>24</v>
      </c>
      <c r="K67" t="str">
        <f t="shared" si="2"/>
        <v>Sabit</v>
      </c>
    </row>
    <row r="68" spans="1:11" x14ac:dyDescent="0.3">
      <c r="A68" s="9" t="s">
        <v>18</v>
      </c>
      <c r="B68" s="47" t="s">
        <v>131</v>
      </c>
      <c r="C68" s="8" t="s">
        <v>620</v>
      </c>
      <c r="D68" s="8" t="s">
        <v>617</v>
      </c>
      <c r="E68" s="8"/>
      <c r="F68" s="8"/>
      <c r="G68" s="8"/>
      <c r="H68" s="10">
        <v>3.5</v>
      </c>
      <c r="I68" s="54">
        <f>VLOOKUP(A68,İstasyonlar!$A$2:$D$776,4,0)</f>
        <v>1000000</v>
      </c>
      <c r="J68" s="54">
        <f t="shared" si="3"/>
        <v>25</v>
      </c>
      <c r="K68" t="str">
        <f t="shared" si="2"/>
        <v/>
      </c>
    </row>
    <row r="69" spans="1:11" x14ac:dyDescent="0.3">
      <c r="A69" s="9" t="s">
        <v>18</v>
      </c>
      <c r="B69" s="47" t="s">
        <v>132</v>
      </c>
      <c r="C69" s="8" t="s">
        <v>620</v>
      </c>
      <c r="D69" s="8" t="s">
        <v>617</v>
      </c>
      <c r="E69" s="8"/>
      <c r="F69" s="8"/>
      <c r="G69" s="8"/>
      <c r="H69" s="10">
        <v>4.5</v>
      </c>
      <c r="I69" s="54">
        <f>VLOOKUP(A69,İstasyonlar!$A$2:$D$776,4,0)</f>
        <v>1000000</v>
      </c>
      <c r="J69" s="54">
        <f t="shared" si="3"/>
        <v>25</v>
      </c>
      <c r="K69" t="str">
        <f t="shared" si="2"/>
        <v/>
      </c>
    </row>
    <row r="70" spans="1:11" x14ac:dyDescent="0.3">
      <c r="A70" s="9" t="s">
        <v>18</v>
      </c>
      <c r="B70" s="47" t="s">
        <v>133</v>
      </c>
      <c r="C70" s="8" t="s">
        <v>620</v>
      </c>
      <c r="D70" s="8" t="s">
        <v>617</v>
      </c>
      <c r="E70" s="8"/>
      <c r="F70" s="8"/>
      <c r="G70" s="8"/>
      <c r="H70" s="10">
        <v>4.2</v>
      </c>
      <c r="I70" s="54">
        <f>VLOOKUP(A70,İstasyonlar!$A$2:$D$776,4,0)</f>
        <v>1000000</v>
      </c>
      <c r="J70" s="54">
        <f t="shared" si="3"/>
        <v>25</v>
      </c>
      <c r="K70" t="str">
        <f t="shared" si="2"/>
        <v/>
      </c>
    </row>
    <row r="71" spans="1:11" x14ac:dyDescent="0.3">
      <c r="A71" s="9" t="s">
        <v>18</v>
      </c>
      <c r="B71" s="47" t="s">
        <v>134</v>
      </c>
      <c r="C71" s="8" t="s">
        <v>620</v>
      </c>
      <c r="D71" s="8" t="s">
        <v>617</v>
      </c>
      <c r="E71" s="8"/>
      <c r="F71" s="8"/>
      <c r="G71" s="8"/>
      <c r="H71" s="10">
        <v>2.8</v>
      </c>
      <c r="I71" s="54">
        <f>VLOOKUP(A71,İstasyonlar!$A$2:$D$776,4,0)</f>
        <v>1000000</v>
      </c>
      <c r="J71" s="54">
        <f t="shared" si="3"/>
        <v>25</v>
      </c>
      <c r="K71" t="str">
        <f t="shared" si="2"/>
        <v/>
      </c>
    </row>
    <row r="72" spans="1:11" x14ac:dyDescent="0.3">
      <c r="A72" s="9" t="s">
        <v>19</v>
      </c>
      <c r="B72" s="47" t="s">
        <v>135</v>
      </c>
      <c r="C72" s="8" t="s">
        <v>625</v>
      </c>
      <c r="D72" s="8" t="s">
        <v>620</v>
      </c>
      <c r="E72" s="8" t="s">
        <v>617</v>
      </c>
      <c r="F72" s="8"/>
      <c r="G72" s="8"/>
      <c r="H72" s="10">
        <v>3.5</v>
      </c>
      <c r="I72" s="54">
        <f>VLOOKUP(A72,İstasyonlar!$A$2:$D$776,4,0)</f>
        <v>1000000</v>
      </c>
      <c r="J72" s="54">
        <f t="shared" si="3"/>
        <v>26</v>
      </c>
      <c r="K72" t="str">
        <f t="shared" si="2"/>
        <v/>
      </c>
    </row>
    <row r="73" spans="1:11" x14ac:dyDescent="0.3">
      <c r="A73" s="9" t="s">
        <v>19</v>
      </c>
      <c r="B73" s="47" t="s">
        <v>136</v>
      </c>
      <c r="C73" s="8" t="s">
        <v>625</v>
      </c>
      <c r="D73" s="8" t="s">
        <v>620</v>
      </c>
      <c r="E73" s="8" t="s">
        <v>617</v>
      </c>
      <c r="F73" s="8"/>
      <c r="G73" s="8"/>
      <c r="H73" s="10">
        <v>3.8</v>
      </c>
      <c r="I73" s="54">
        <f>VLOOKUP(A73,İstasyonlar!$A$2:$D$776,4,0)</f>
        <v>1000000</v>
      </c>
      <c r="J73" s="54">
        <f t="shared" si="3"/>
        <v>26</v>
      </c>
      <c r="K73" t="str">
        <f t="shared" si="2"/>
        <v/>
      </c>
    </row>
    <row r="74" spans="1:11" x14ac:dyDescent="0.3">
      <c r="A74" s="9" t="s">
        <v>19</v>
      </c>
      <c r="B74" s="47" t="s">
        <v>137</v>
      </c>
      <c r="C74" s="8" t="s">
        <v>625</v>
      </c>
      <c r="D74" s="8" t="s">
        <v>620</v>
      </c>
      <c r="E74" s="8" t="s">
        <v>617</v>
      </c>
      <c r="F74" s="8"/>
      <c r="G74" s="8"/>
      <c r="H74" s="10">
        <v>4.8</v>
      </c>
      <c r="I74" s="54">
        <f>VLOOKUP(A74,İstasyonlar!$A$2:$D$776,4,0)</f>
        <v>1000000</v>
      </c>
      <c r="J74" s="54">
        <f t="shared" si="3"/>
        <v>26</v>
      </c>
      <c r="K74" t="str">
        <f t="shared" si="2"/>
        <v/>
      </c>
    </row>
    <row r="75" spans="1:11" x14ac:dyDescent="0.3">
      <c r="A75" s="9" t="s">
        <v>24</v>
      </c>
      <c r="B75" s="47" t="s">
        <v>138</v>
      </c>
      <c r="C75" s="8" t="s">
        <v>624</v>
      </c>
      <c r="D75" s="8"/>
      <c r="E75" s="8"/>
      <c r="F75" s="8"/>
      <c r="G75" s="8"/>
      <c r="H75" s="10">
        <v>3.1</v>
      </c>
      <c r="I75" s="54">
        <f>VLOOKUP(A75,İstasyonlar!$A$2:$D$776,4,0)</f>
        <v>1000000</v>
      </c>
      <c r="J75" s="54">
        <f t="shared" si="3"/>
        <v>27</v>
      </c>
      <c r="K75" t="str">
        <f t="shared" si="2"/>
        <v/>
      </c>
    </row>
    <row r="76" spans="1:11" x14ac:dyDescent="0.3">
      <c r="A76" s="9" t="s">
        <v>24</v>
      </c>
      <c r="B76" s="47" t="s">
        <v>139</v>
      </c>
      <c r="C76" s="8" t="s">
        <v>624</v>
      </c>
      <c r="D76" s="8"/>
      <c r="E76" s="8"/>
      <c r="F76" s="8"/>
      <c r="G76" s="8"/>
      <c r="H76" s="10">
        <v>3.5</v>
      </c>
      <c r="I76" s="54">
        <f>VLOOKUP(A76,İstasyonlar!$A$2:$D$776,4,0)</f>
        <v>1000000</v>
      </c>
      <c r="J76" s="54">
        <f t="shared" si="3"/>
        <v>27</v>
      </c>
      <c r="K76" t="str">
        <f t="shared" si="2"/>
        <v/>
      </c>
    </row>
    <row r="77" spans="1:11" x14ac:dyDescent="0.3">
      <c r="A77" s="9" t="s">
        <v>24</v>
      </c>
      <c r="B77" s="47" t="s">
        <v>140</v>
      </c>
      <c r="C77" s="8" t="s">
        <v>624</v>
      </c>
      <c r="D77" s="8"/>
      <c r="E77" s="8"/>
      <c r="F77" s="8"/>
      <c r="G77" s="8"/>
      <c r="H77" s="10">
        <v>3.1</v>
      </c>
      <c r="I77" s="54">
        <f>VLOOKUP(A77,İstasyonlar!$A$2:$D$776,4,0)</f>
        <v>1000000</v>
      </c>
      <c r="J77" s="54">
        <f t="shared" si="3"/>
        <v>27</v>
      </c>
      <c r="K77" t="str">
        <f t="shared" si="2"/>
        <v/>
      </c>
    </row>
    <row r="78" spans="1:11" x14ac:dyDescent="0.3">
      <c r="A78" s="9" t="s">
        <v>24</v>
      </c>
      <c r="B78" s="47" t="s">
        <v>369</v>
      </c>
      <c r="C78" s="8" t="s">
        <v>624</v>
      </c>
      <c r="D78" s="8"/>
      <c r="E78" s="8"/>
      <c r="F78" s="8"/>
      <c r="G78" s="8"/>
      <c r="H78" s="10">
        <v>3.1</v>
      </c>
      <c r="I78" s="54">
        <f>VLOOKUP(A78,İstasyonlar!$A$2:$D$776,4,0)</f>
        <v>1000000</v>
      </c>
      <c r="J78" s="54">
        <f t="shared" si="3"/>
        <v>27</v>
      </c>
      <c r="K78" t="str">
        <f t="shared" si="2"/>
        <v/>
      </c>
    </row>
    <row r="79" spans="1:11" x14ac:dyDescent="0.3">
      <c r="A79" s="9" t="s">
        <v>25</v>
      </c>
      <c r="B79" s="47" t="s">
        <v>142</v>
      </c>
      <c r="C79" s="8" t="s">
        <v>626</v>
      </c>
      <c r="D79" s="8"/>
      <c r="E79" s="8"/>
      <c r="F79" s="8"/>
      <c r="G79" s="8"/>
      <c r="H79" s="10">
        <v>6.2</v>
      </c>
      <c r="I79" s="54">
        <f>VLOOKUP(A79,İstasyonlar!$A$2:$D$776,4,0)</f>
        <v>1000000</v>
      </c>
      <c r="J79" s="54">
        <f t="shared" si="3"/>
        <v>28</v>
      </c>
      <c r="K79" t="str">
        <f t="shared" si="2"/>
        <v/>
      </c>
    </row>
    <row r="80" spans="1:11" x14ac:dyDescent="0.3">
      <c r="A80" s="9" t="s">
        <v>25</v>
      </c>
      <c r="B80" s="47" t="s">
        <v>145</v>
      </c>
      <c r="C80" s="8" t="s">
        <v>626</v>
      </c>
      <c r="D80" s="8"/>
      <c r="E80" s="8"/>
      <c r="F80" s="8"/>
      <c r="G80" s="8"/>
      <c r="H80" s="10">
        <v>2.5</v>
      </c>
      <c r="I80" s="54">
        <f>VLOOKUP(A80,İstasyonlar!$A$2:$D$776,4,0)</f>
        <v>1000000</v>
      </c>
      <c r="J80" s="54">
        <f t="shared" si="3"/>
        <v>28</v>
      </c>
      <c r="K80" t="str">
        <f t="shared" si="2"/>
        <v/>
      </c>
    </row>
    <row r="81" spans="1:11" x14ac:dyDescent="0.3">
      <c r="A81" s="9" t="s">
        <v>25</v>
      </c>
      <c r="B81" s="47" t="s">
        <v>144</v>
      </c>
      <c r="C81" s="8" t="s">
        <v>626</v>
      </c>
      <c r="D81" s="8"/>
      <c r="E81" s="8"/>
      <c r="F81" s="8"/>
      <c r="G81" s="8"/>
      <c r="H81" s="10">
        <v>2.5</v>
      </c>
      <c r="I81" s="54">
        <f>VLOOKUP(A81,İstasyonlar!$A$2:$D$776,4,0)</f>
        <v>1000000</v>
      </c>
      <c r="J81" s="54">
        <f t="shared" si="3"/>
        <v>28</v>
      </c>
      <c r="K81" t="str">
        <f t="shared" si="2"/>
        <v/>
      </c>
    </row>
    <row r="82" spans="1:11" x14ac:dyDescent="0.3">
      <c r="A82" s="9" t="s">
        <v>26</v>
      </c>
      <c r="B82" s="47" t="s">
        <v>146</v>
      </c>
      <c r="C82" s="8" t="s">
        <v>627</v>
      </c>
      <c r="D82" s="8" t="s">
        <v>628</v>
      </c>
      <c r="E82" s="8" t="s">
        <v>626</v>
      </c>
      <c r="F82" s="8"/>
      <c r="G82" s="8"/>
      <c r="H82" s="10">
        <v>1</v>
      </c>
      <c r="I82" s="54">
        <f>VLOOKUP(A82,İstasyonlar!$A$2:$D$776,4,0)</f>
        <v>1000000</v>
      </c>
      <c r="J82" s="54">
        <f t="shared" si="3"/>
        <v>29</v>
      </c>
      <c r="K82" t="str">
        <f t="shared" si="2"/>
        <v/>
      </c>
    </row>
    <row r="83" spans="1:11" x14ac:dyDescent="0.3">
      <c r="A83" s="9" t="s">
        <v>26</v>
      </c>
      <c r="B83" s="47" t="s">
        <v>147</v>
      </c>
      <c r="C83" s="8" t="s">
        <v>627</v>
      </c>
      <c r="D83" s="8" t="s">
        <v>628</v>
      </c>
      <c r="E83" s="8" t="s">
        <v>626</v>
      </c>
      <c r="F83" s="8"/>
      <c r="G83" s="8"/>
      <c r="H83" s="10">
        <v>2.4</v>
      </c>
      <c r="I83" s="54">
        <f>VLOOKUP(A83,İstasyonlar!$A$2:$D$776,4,0)</f>
        <v>1000000</v>
      </c>
      <c r="J83" s="54">
        <f t="shared" si="3"/>
        <v>29</v>
      </c>
      <c r="K83" t="str">
        <f t="shared" si="2"/>
        <v/>
      </c>
    </row>
    <row r="84" spans="1:11" x14ac:dyDescent="0.3">
      <c r="A84" s="9" t="s">
        <v>26</v>
      </c>
      <c r="B84" s="47" t="s">
        <v>148</v>
      </c>
      <c r="C84" s="8" t="s">
        <v>627</v>
      </c>
      <c r="D84" s="8" t="s">
        <v>628</v>
      </c>
      <c r="E84" s="8" t="s">
        <v>626</v>
      </c>
      <c r="F84" s="8"/>
      <c r="G84" s="8"/>
      <c r="H84" s="10">
        <v>4.0999999999999996</v>
      </c>
      <c r="I84" s="54">
        <f>VLOOKUP(A84,İstasyonlar!$A$2:$D$776,4,0)</f>
        <v>1000000</v>
      </c>
      <c r="J84" s="54">
        <f t="shared" si="3"/>
        <v>29</v>
      </c>
      <c r="K84" t="str">
        <f t="shared" si="2"/>
        <v/>
      </c>
    </row>
    <row r="85" spans="1:11" x14ac:dyDescent="0.3">
      <c r="A85" s="9" t="s">
        <v>26</v>
      </c>
      <c r="B85" s="47" t="s">
        <v>149</v>
      </c>
      <c r="C85" s="8" t="s">
        <v>627</v>
      </c>
      <c r="D85" s="8" t="s">
        <v>628</v>
      </c>
      <c r="E85" s="8" t="s">
        <v>626</v>
      </c>
      <c r="F85" s="8"/>
      <c r="G85" s="8"/>
      <c r="H85" s="10">
        <v>3.8</v>
      </c>
      <c r="I85" s="54">
        <f>VLOOKUP(A85,İstasyonlar!$A$2:$D$776,4,0)</f>
        <v>1000000</v>
      </c>
      <c r="J85" s="54">
        <f t="shared" si="3"/>
        <v>29</v>
      </c>
      <c r="K85" t="str">
        <f t="shared" si="2"/>
        <v/>
      </c>
    </row>
    <row r="86" spans="1:11" x14ac:dyDescent="0.3">
      <c r="A86" s="9" t="s">
        <v>27</v>
      </c>
      <c r="B86" s="47" t="s">
        <v>150</v>
      </c>
      <c r="C86" s="8" t="s">
        <v>628</v>
      </c>
      <c r="D86" s="8" t="s">
        <v>627</v>
      </c>
      <c r="E86" s="8" t="s">
        <v>623</v>
      </c>
      <c r="F86" s="8" t="s">
        <v>626</v>
      </c>
      <c r="G86" s="8"/>
      <c r="H86" s="10">
        <v>12.5</v>
      </c>
      <c r="I86" s="54">
        <f>VLOOKUP(A86,İstasyonlar!$A$2:$D$776,4,0)</f>
        <v>1000000</v>
      </c>
      <c r="J86" s="54">
        <f t="shared" si="3"/>
        <v>30</v>
      </c>
      <c r="K86" t="str">
        <f t="shared" si="2"/>
        <v/>
      </c>
    </row>
    <row r="87" spans="1:11" x14ac:dyDescent="0.3">
      <c r="A87" s="9" t="s">
        <v>27</v>
      </c>
      <c r="B87" s="47" t="s">
        <v>151</v>
      </c>
      <c r="C87" s="8" t="s">
        <v>628</v>
      </c>
      <c r="D87" s="8" t="s">
        <v>627</v>
      </c>
      <c r="E87" s="8" t="s">
        <v>623</v>
      </c>
      <c r="F87" s="8" t="s">
        <v>626</v>
      </c>
      <c r="G87" s="8"/>
      <c r="H87" s="10">
        <v>6.1</v>
      </c>
      <c r="I87" s="54">
        <f>VLOOKUP(A87,İstasyonlar!$A$2:$D$776,4,0)</f>
        <v>1000000</v>
      </c>
      <c r="J87" s="54">
        <f t="shared" si="3"/>
        <v>30</v>
      </c>
      <c r="K87" t="str">
        <f t="shared" si="2"/>
        <v/>
      </c>
    </row>
    <row r="88" spans="1:11" x14ac:dyDescent="0.3">
      <c r="A88" s="9" t="s">
        <v>28</v>
      </c>
      <c r="B88" s="47" t="s">
        <v>152</v>
      </c>
      <c r="C88" s="8" t="s">
        <v>630</v>
      </c>
      <c r="D88" s="8"/>
      <c r="E88" s="8"/>
      <c r="F88" s="8"/>
      <c r="G88" s="8"/>
      <c r="H88" s="10">
        <v>4.5</v>
      </c>
      <c r="I88" s="54">
        <f>VLOOKUP(A88,İstasyonlar!$A$2:$D$776,4,0)</f>
        <v>1000000</v>
      </c>
      <c r="J88" s="54">
        <f t="shared" si="3"/>
        <v>31</v>
      </c>
      <c r="K88" t="str">
        <f t="shared" si="2"/>
        <v/>
      </c>
    </row>
    <row r="89" spans="1:11" x14ac:dyDescent="0.3">
      <c r="A89" s="9" t="s">
        <v>28</v>
      </c>
      <c r="B89" s="47" t="s">
        <v>153</v>
      </c>
      <c r="C89" s="8" t="s">
        <v>630</v>
      </c>
      <c r="D89" s="8"/>
      <c r="E89" s="8"/>
      <c r="F89" s="8"/>
      <c r="G89" s="8"/>
      <c r="H89" s="10">
        <v>3.5</v>
      </c>
      <c r="I89" s="54">
        <f>VLOOKUP(A89,İstasyonlar!$A$2:$D$776,4,0)</f>
        <v>1000000</v>
      </c>
      <c r="J89" s="54">
        <f t="shared" si="3"/>
        <v>31</v>
      </c>
      <c r="K89" t="str">
        <f t="shared" si="2"/>
        <v/>
      </c>
    </row>
    <row r="90" spans="1:11" x14ac:dyDescent="0.3">
      <c r="A90" s="9" t="s">
        <v>28</v>
      </c>
      <c r="B90" s="47" t="s">
        <v>154</v>
      </c>
      <c r="C90" s="8" t="s">
        <v>630</v>
      </c>
      <c r="D90" s="8"/>
      <c r="E90" s="8"/>
      <c r="F90" s="8"/>
      <c r="G90" s="8"/>
      <c r="H90" s="10">
        <v>3.1</v>
      </c>
      <c r="I90" s="54">
        <f>VLOOKUP(A90,İstasyonlar!$A$2:$D$776,4,0)</f>
        <v>1000000</v>
      </c>
      <c r="J90" s="54">
        <f t="shared" si="3"/>
        <v>31</v>
      </c>
      <c r="K90" t="str">
        <f t="shared" si="2"/>
        <v/>
      </c>
    </row>
    <row r="91" spans="1:11" x14ac:dyDescent="0.3">
      <c r="A91" s="9" t="s">
        <v>28</v>
      </c>
      <c r="B91" s="47" t="s">
        <v>155</v>
      </c>
      <c r="C91" s="8" t="s">
        <v>630</v>
      </c>
      <c r="D91" s="8"/>
      <c r="E91" s="8"/>
      <c r="F91" s="8"/>
      <c r="G91" s="8"/>
      <c r="H91" s="10">
        <v>3.1</v>
      </c>
      <c r="I91" s="54">
        <f>VLOOKUP(A91,İstasyonlar!$A$2:$D$776,4,0)</f>
        <v>1000000</v>
      </c>
      <c r="J91" s="54">
        <f t="shared" si="3"/>
        <v>31</v>
      </c>
      <c r="K91" t="str">
        <f t="shared" si="2"/>
        <v/>
      </c>
    </row>
    <row r="92" spans="1:11" x14ac:dyDescent="0.3">
      <c r="A92" s="9" t="s">
        <v>29</v>
      </c>
      <c r="B92" s="47" t="s">
        <v>156</v>
      </c>
      <c r="C92" s="8" t="s">
        <v>623</v>
      </c>
      <c r="D92" s="8" t="s">
        <v>626</v>
      </c>
      <c r="E92" s="8"/>
      <c r="F92" s="8"/>
      <c r="G92" s="8"/>
      <c r="H92" s="10">
        <v>9.1999999999999993</v>
      </c>
      <c r="I92" s="54">
        <f>VLOOKUP(A92,İstasyonlar!$A$2:$D$776,4,0)</f>
        <v>1000000</v>
      </c>
      <c r="J92" s="54">
        <f t="shared" si="3"/>
        <v>32</v>
      </c>
      <c r="K92" t="str">
        <f t="shared" si="2"/>
        <v/>
      </c>
    </row>
    <row r="93" spans="1:11" x14ac:dyDescent="0.3">
      <c r="A93" s="9" t="s">
        <v>29</v>
      </c>
      <c r="B93" s="47" t="s">
        <v>157</v>
      </c>
      <c r="C93" s="8" t="s">
        <v>623</v>
      </c>
      <c r="D93" s="8" t="s">
        <v>626</v>
      </c>
      <c r="E93" s="8"/>
      <c r="F93" s="8"/>
      <c r="G93" s="8"/>
      <c r="H93" s="10">
        <v>0.6</v>
      </c>
      <c r="I93" s="54">
        <f>VLOOKUP(A93,İstasyonlar!$A$2:$D$776,4,0)</f>
        <v>1000000</v>
      </c>
      <c r="J93" s="54">
        <f t="shared" si="3"/>
        <v>32</v>
      </c>
      <c r="K93" t="str">
        <f t="shared" si="2"/>
        <v/>
      </c>
    </row>
    <row r="94" spans="1:11" x14ac:dyDescent="0.3">
      <c r="A94" s="9" t="s">
        <v>29</v>
      </c>
      <c r="B94" s="47" t="s">
        <v>375</v>
      </c>
      <c r="C94" s="8" t="s">
        <v>623</v>
      </c>
      <c r="D94" s="8" t="s">
        <v>626</v>
      </c>
      <c r="E94" s="8"/>
      <c r="F94" s="8"/>
      <c r="G94" s="8"/>
      <c r="H94" s="10">
        <v>3.1</v>
      </c>
      <c r="I94" s="54">
        <f>VLOOKUP(A94,İstasyonlar!$A$2:$D$776,4,0)</f>
        <v>1000000</v>
      </c>
      <c r="J94" s="54">
        <f t="shared" si="3"/>
        <v>32</v>
      </c>
      <c r="K94" t="str">
        <f t="shared" si="2"/>
        <v/>
      </c>
    </row>
    <row r="95" spans="1:11" x14ac:dyDescent="0.3">
      <c r="A95" s="9" t="s">
        <v>29</v>
      </c>
      <c r="B95" s="47" t="s">
        <v>158</v>
      </c>
      <c r="C95" s="8" t="s">
        <v>623</v>
      </c>
      <c r="D95" s="8" t="s">
        <v>626</v>
      </c>
      <c r="E95" s="8"/>
      <c r="F95" s="8"/>
      <c r="G95" s="8"/>
      <c r="H95" s="10">
        <v>2.8</v>
      </c>
      <c r="I95" s="54">
        <f>VLOOKUP(A95,İstasyonlar!$A$2:$D$776,4,0)</f>
        <v>1000000</v>
      </c>
      <c r="J95" s="54">
        <f t="shared" si="3"/>
        <v>32</v>
      </c>
      <c r="K95" t="str">
        <f t="shared" si="2"/>
        <v/>
      </c>
    </row>
    <row r="96" spans="1:11" x14ac:dyDescent="0.3">
      <c r="A96" s="9" t="s">
        <v>57</v>
      </c>
      <c r="B96" s="47" t="s">
        <v>159</v>
      </c>
      <c r="C96" s="8" t="s">
        <v>631</v>
      </c>
      <c r="D96" s="8"/>
      <c r="E96" s="8"/>
      <c r="F96" s="8"/>
      <c r="G96" s="8"/>
      <c r="H96" s="10">
        <v>5.5</v>
      </c>
      <c r="I96" s="54">
        <f>VLOOKUP(A96,İstasyonlar!$A$2:$D$776,4,0)</f>
        <v>1000000</v>
      </c>
      <c r="J96" s="54">
        <f t="shared" si="3"/>
        <v>33</v>
      </c>
      <c r="K96" t="str">
        <f t="shared" si="2"/>
        <v/>
      </c>
    </row>
    <row r="97" spans="1:11" x14ac:dyDescent="0.3">
      <c r="A97" s="9" t="s">
        <v>57</v>
      </c>
      <c r="B97" s="47" t="s">
        <v>160</v>
      </c>
      <c r="C97" s="8" t="s">
        <v>631</v>
      </c>
      <c r="D97" s="8"/>
      <c r="E97" s="8"/>
      <c r="F97" s="8"/>
      <c r="G97" s="8"/>
      <c r="H97" s="10">
        <v>3.1</v>
      </c>
      <c r="I97" s="54">
        <f>VLOOKUP(A97,İstasyonlar!$A$2:$D$776,4,0)</f>
        <v>1000000</v>
      </c>
      <c r="J97" s="54">
        <f t="shared" si="3"/>
        <v>33</v>
      </c>
      <c r="K97" t="str">
        <f t="shared" si="2"/>
        <v/>
      </c>
    </row>
    <row r="98" spans="1:11" x14ac:dyDescent="0.3">
      <c r="A98" s="9" t="s">
        <v>57</v>
      </c>
      <c r="B98" s="47" t="s">
        <v>161</v>
      </c>
      <c r="C98" s="8" t="s">
        <v>631</v>
      </c>
      <c r="D98" s="8"/>
      <c r="E98" s="8"/>
      <c r="F98" s="8"/>
      <c r="G98" s="8"/>
      <c r="H98" s="10">
        <v>3.1</v>
      </c>
      <c r="I98" s="54">
        <f>VLOOKUP(A98,İstasyonlar!$A$2:$D$776,4,0)</f>
        <v>1000000</v>
      </c>
      <c r="J98" s="54">
        <f t="shared" si="3"/>
        <v>33</v>
      </c>
      <c r="K98" t="str">
        <f t="shared" si="2"/>
        <v/>
      </c>
    </row>
    <row r="99" spans="1:11" x14ac:dyDescent="0.3">
      <c r="A99" s="9" t="s">
        <v>57</v>
      </c>
      <c r="B99" s="47" t="s">
        <v>162</v>
      </c>
      <c r="C99" s="8" t="s">
        <v>631</v>
      </c>
      <c r="D99" s="8"/>
      <c r="E99" s="8"/>
      <c r="F99" s="8"/>
      <c r="G99" s="8"/>
      <c r="H99" s="10">
        <v>2.5</v>
      </c>
      <c r="I99" s="54">
        <f>VLOOKUP(A99,İstasyonlar!$A$2:$D$776,4,0)</f>
        <v>1000000</v>
      </c>
      <c r="J99" s="54">
        <f t="shared" si="3"/>
        <v>33</v>
      </c>
      <c r="K99" t="str">
        <f t="shared" si="2"/>
        <v/>
      </c>
    </row>
    <row r="100" spans="1:11" x14ac:dyDescent="0.3">
      <c r="A100" s="9" t="s">
        <v>32</v>
      </c>
      <c r="B100" s="47" t="s">
        <v>163</v>
      </c>
      <c r="C100" s="8" t="s">
        <v>632</v>
      </c>
      <c r="D100" s="8" t="s">
        <v>631</v>
      </c>
      <c r="E100" s="8"/>
      <c r="F100" s="8"/>
      <c r="G100" s="8"/>
      <c r="H100" s="10">
        <v>0.5</v>
      </c>
      <c r="I100" s="54">
        <f>VLOOKUP(A100,İstasyonlar!$A$2:$D$776,4,0)</f>
        <v>1000000</v>
      </c>
      <c r="J100" s="54">
        <f t="shared" si="3"/>
        <v>34</v>
      </c>
      <c r="K100" t="str">
        <f t="shared" si="2"/>
        <v/>
      </c>
    </row>
    <row r="101" spans="1:11" x14ac:dyDescent="0.3">
      <c r="A101" s="9" t="s">
        <v>32</v>
      </c>
      <c r="B101" s="47" t="s">
        <v>164</v>
      </c>
      <c r="C101" s="8" t="s">
        <v>632</v>
      </c>
      <c r="D101" s="8" t="s">
        <v>631</v>
      </c>
      <c r="E101" s="8"/>
      <c r="F101" s="8"/>
      <c r="G101" s="8"/>
      <c r="H101" s="10">
        <v>5.8</v>
      </c>
      <c r="I101" s="54">
        <f>VLOOKUP(A101,İstasyonlar!$A$2:$D$776,4,0)</f>
        <v>1000000</v>
      </c>
      <c r="J101" s="54">
        <f t="shared" si="3"/>
        <v>34</v>
      </c>
      <c r="K101" t="str">
        <f t="shared" si="2"/>
        <v/>
      </c>
    </row>
    <row r="102" spans="1:11" x14ac:dyDescent="0.3">
      <c r="A102" s="9" t="s">
        <v>32</v>
      </c>
      <c r="B102" s="47" t="s">
        <v>165</v>
      </c>
      <c r="C102" s="8" t="s">
        <v>632</v>
      </c>
      <c r="D102" s="8" t="s">
        <v>631</v>
      </c>
      <c r="E102" s="8"/>
      <c r="F102" s="8"/>
      <c r="G102" s="8"/>
      <c r="H102" s="10">
        <v>5.0999999999999996</v>
      </c>
      <c r="I102" s="54">
        <f>VLOOKUP(A102,İstasyonlar!$A$2:$D$776,4,0)</f>
        <v>1000000</v>
      </c>
      <c r="J102" s="54">
        <f t="shared" si="3"/>
        <v>34</v>
      </c>
      <c r="K102" t="str">
        <f t="shared" si="2"/>
        <v/>
      </c>
    </row>
    <row r="103" spans="1:11" x14ac:dyDescent="0.3">
      <c r="A103" s="9" t="s">
        <v>32</v>
      </c>
      <c r="B103" s="47" t="s">
        <v>166</v>
      </c>
      <c r="C103" s="8" t="s">
        <v>632</v>
      </c>
      <c r="D103" s="8" t="s">
        <v>631</v>
      </c>
      <c r="E103" s="8"/>
      <c r="F103" s="8"/>
      <c r="G103" s="8"/>
      <c r="H103" s="10">
        <v>6.8</v>
      </c>
      <c r="I103" s="54">
        <f>VLOOKUP(A103,İstasyonlar!$A$2:$D$776,4,0)</f>
        <v>1000000</v>
      </c>
      <c r="J103" s="54">
        <f t="shared" si="3"/>
        <v>34</v>
      </c>
      <c r="K103" t="str">
        <f t="shared" si="2"/>
        <v/>
      </c>
    </row>
    <row r="104" spans="1:11" x14ac:dyDescent="0.3">
      <c r="A104" s="9" t="s">
        <v>32</v>
      </c>
      <c r="B104" s="47" t="s">
        <v>167</v>
      </c>
      <c r="C104" s="8" t="s">
        <v>632</v>
      </c>
      <c r="D104" s="8" t="s">
        <v>631</v>
      </c>
      <c r="E104" s="8"/>
      <c r="F104" s="8"/>
      <c r="G104" s="8"/>
      <c r="H104" s="10">
        <v>0.5</v>
      </c>
      <c r="I104" s="54">
        <f>VLOOKUP(A104,İstasyonlar!$A$2:$D$776,4,0)</f>
        <v>1000000</v>
      </c>
      <c r="J104" s="54">
        <f t="shared" si="3"/>
        <v>34</v>
      </c>
      <c r="K104" t="str">
        <f t="shared" si="2"/>
        <v/>
      </c>
    </row>
    <row r="105" spans="1:11" x14ac:dyDescent="0.3">
      <c r="A105" s="9" t="s">
        <v>377</v>
      </c>
      <c r="B105" s="47" t="s">
        <v>378</v>
      </c>
      <c r="C105" s="8" t="s">
        <v>633</v>
      </c>
      <c r="D105" s="8"/>
      <c r="E105" s="8"/>
      <c r="F105" s="8"/>
      <c r="G105" s="8"/>
      <c r="H105" s="10">
        <v>6.1</v>
      </c>
      <c r="I105" s="54">
        <f>VLOOKUP(A105,İstasyonlar!$A$2:$D$776,4,0)</f>
        <v>1000000</v>
      </c>
      <c r="J105" s="54">
        <f t="shared" si="3"/>
        <v>35</v>
      </c>
      <c r="K105" t="str">
        <f t="shared" si="2"/>
        <v/>
      </c>
    </row>
    <row r="106" spans="1:11" x14ac:dyDescent="0.3">
      <c r="A106" s="9" t="s">
        <v>377</v>
      </c>
      <c r="B106" s="47" t="s">
        <v>379</v>
      </c>
      <c r="C106" s="8" t="s">
        <v>633</v>
      </c>
      <c r="D106" s="8"/>
      <c r="E106" s="8"/>
      <c r="F106" s="8"/>
      <c r="G106" s="8"/>
      <c r="H106" s="10">
        <v>5.8</v>
      </c>
      <c r="I106" s="54">
        <f>VLOOKUP(A106,İstasyonlar!$A$2:$D$776,4,0)</f>
        <v>1000000</v>
      </c>
      <c r="J106" s="54">
        <f t="shared" si="3"/>
        <v>35</v>
      </c>
      <c r="K106" t="str">
        <f t="shared" si="2"/>
        <v/>
      </c>
    </row>
    <row r="107" spans="1:11" x14ac:dyDescent="0.3">
      <c r="A107" s="9" t="s">
        <v>33</v>
      </c>
      <c r="B107" s="47" t="s">
        <v>168</v>
      </c>
      <c r="C107" s="8" t="s">
        <v>635</v>
      </c>
      <c r="D107" s="8"/>
      <c r="E107" s="8"/>
      <c r="F107" s="8"/>
      <c r="G107" s="8"/>
      <c r="H107" s="10">
        <v>3.1</v>
      </c>
      <c r="I107" s="54">
        <f>VLOOKUP(A107,İstasyonlar!$A$2:$D$776,4,0)</f>
        <v>1000000</v>
      </c>
      <c r="J107" s="54">
        <f t="shared" si="3"/>
        <v>36</v>
      </c>
      <c r="K107" t="str">
        <f t="shared" si="2"/>
        <v/>
      </c>
    </row>
    <row r="108" spans="1:11" x14ac:dyDescent="0.3">
      <c r="A108" s="9" t="s">
        <v>33</v>
      </c>
      <c r="B108" s="47" t="s">
        <v>169</v>
      </c>
      <c r="C108" s="8" t="s">
        <v>635</v>
      </c>
      <c r="D108" s="8"/>
      <c r="E108" s="8"/>
      <c r="F108" s="8"/>
      <c r="G108" s="8"/>
      <c r="H108" s="10">
        <v>4.9000000000000004</v>
      </c>
      <c r="I108" s="54">
        <f>VLOOKUP(A108,İstasyonlar!$A$2:$D$776,4,0)</f>
        <v>1000000</v>
      </c>
      <c r="J108" s="54">
        <f t="shared" si="3"/>
        <v>36</v>
      </c>
      <c r="K108" t="str">
        <f t="shared" si="2"/>
        <v/>
      </c>
    </row>
    <row r="109" spans="1:11" x14ac:dyDescent="0.3">
      <c r="A109" s="9" t="s">
        <v>33</v>
      </c>
      <c r="B109" s="47" t="s">
        <v>381</v>
      </c>
      <c r="C109" s="8" t="s">
        <v>635</v>
      </c>
      <c r="D109" s="8"/>
      <c r="E109" s="8"/>
      <c r="F109" s="8"/>
      <c r="G109" s="8"/>
      <c r="H109" s="10">
        <v>5.6</v>
      </c>
      <c r="I109" s="54">
        <f>VLOOKUP(A109,İstasyonlar!$A$2:$D$776,4,0)</f>
        <v>1000000</v>
      </c>
      <c r="J109" s="54">
        <f t="shared" si="3"/>
        <v>36</v>
      </c>
      <c r="K109" t="str">
        <f t="shared" si="2"/>
        <v/>
      </c>
    </row>
    <row r="110" spans="1:11" x14ac:dyDescent="0.3">
      <c r="A110" s="9" t="s">
        <v>284</v>
      </c>
      <c r="B110" s="47" t="s">
        <v>294</v>
      </c>
      <c r="C110" s="8" t="s">
        <v>636</v>
      </c>
      <c r="D110" s="8"/>
      <c r="E110" s="8"/>
      <c r="F110" s="8"/>
      <c r="G110" s="8"/>
      <c r="H110" s="10">
        <v>3.1</v>
      </c>
      <c r="I110" s="54">
        <f>VLOOKUP(A110,İstasyonlar!$A$2:$D$776,4,0)</f>
        <v>1000000</v>
      </c>
      <c r="J110" s="54">
        <f t="shared" si="3"/>
        <v>37</v>
      </c>
      <c r="K110" t="str">
        <f t="shared" si="2"/>
        <v/>
      </c>
    </row>
    <row r="111" spans="1:11" x14ac:dyDescent="0.3">
      <c r="A111" s="9" t="s">
        <v>284</v>
      </c>
      <c r="B111" s="47" t="s">
        <v>295</v>
      </c>
      <c r="C111" s="8" t="s">
        <v>636</v>
      </c>
      <c r="D111" s="8"/>
      <c r="E111" s="8"/>
      <c r="F111" s="8"/>
      <c r="G111" s="8"/>
      <c r="H111" s="10">
        <v>4.0999999999999996</v>
      </c>
      <c r="I111" s="54">
        <f>VLOOKUP(A111,İstasyonlar!$A$2:$D$776,4,0)</f>
        <v>1000000</v>
      </c>
      <c r="J111" s="54">
        <f t="shared" si="3"/>
        <v>37</v>
      </c>
      <c r="K111" t="str">
        <f t="shared" si="2"/>
        <v/>
      </c>
    </row>
    <row r="112" spans="1:11" x14ac:dyDescent="0.3">
      <c r="A112" s="9" t="s">
        <v>284</v>
      </c>
      <c r="B112" s="47" t="s">
        <v>296</v>
      </c>
      <c r="C112" s="8" t="s">
        <v>636</v>
      </c>
      <c r="D112" s="8"/>
      <c r="E112" s="8"/>
      <c r="F112" s="8"/>
      <c r="G112" s="8"/>
      <c r="H112" s="10">
        <v>5.0999999999999996</v>
      </c>
      <c r="I112" s="54">
        <f>VLOOKUP(A112,İstasyonlar!$A$2:$D$776,4,0)</f>
        <v>1000000</v>
      </c>
      <c r="J112" s="54">
        <f t="shared" si="3"/>
        <v>37</v>
      </c>
      <c r="K112" t="str">
        <f t="shared" si="2"/>
        <v/>
      </c>
    </row>
    <row r="113" spans="1:11" x14ac:dyDescent="0.3">
      <c r="A113" s="9" t="s">
        <v>34</v>
      </c>
      <c r="B113" s="47" t="s">
        <v>171</v>
      </c>
      <c r="C113" s="8" t="s">
        <v>637</v>
      </c>
      <c r="D113" s="8" t="s">
        <v>632</v>
      </c>
      <c r="E113" s="8"/>
      <c r="F113" s="8"/>
      <c r="G113" s="8"/>
      <c r="H113" s="10">
        <v>0.5</v>
      </c>
      <c r="I113" s="54">
        <f>VLOOKUP(A113,İstasyonlar!$A$2:$D$776,4,0)</f>
        <v>1000000</v>
      </c>
      <c r="J113" s="54">
        <f t="shared" si="3"/>
        <v>38</v>
      </c>
      <c r="K113" t="str">
        <f t="shared" si="2"/>
        <v/>
      </c>
    </row>
    <row r="114" spans="1:11" x14ac:dyDescent="0.3">
      <c r="A114" s="9" t="s">
        <v>34</v>
      </c>
      <c r="B114" s="47" t="s">
        <v>172</v>
      </c>
      <c r="C114" s="8" t="s">
        <v>637</v>
      </c>
      <c r="D114" s="8" t="s">
        <v>632</v>
      </c>
      <c r="E114" s="8"/>
      <c r="F114" s="8"/>
      <c r="G114" s="8"/>
      <c r="H114" s="10">
        <v>6.9</v>
      </c>
      <c r="I114" s="54">
        <f>VLOOKUP(A114,İstasyonlar!$A$2:$D$776,4,0)</f>
        <v>1000000</v>
      </c>
      <c r="J114" s="54">
        <f t="shared" si="3"/>
        <v>38</v>
      </c>
      <c r="K114" t="str">
        <f t="shared" si="2"/>
        <v/>
      </c>
    </row>
    <row r="115" spans="1:11" x14ac:dyDescent="0.3">
      <c r="A115" s="9" t="s">
        <v>34</v>
      </c>
      <c r="B115" s="47" t="s">
        <v>173</v>
      </c>
      <c r="C115" s="8" t="s">
        <v>637</v>
      </c>
      <c r="D115" s="8" t="s">
        <v>632</v>
      </c>
      <c r="E115" s="8"/>
      <c r="F115" s="8"/>
      <c r="G115" s="8"/>
      <c r="H115" s="10">
        <v>5.4</v>
      </c>
      <c r="I115" s="54">
        <f>VLOOKUP(A115,İstasyonlar!$A$2:$D$776,4,0)</f>
        <v>1000000</v>
      </c>
      <c r="J115" s="54">
        <f t="shared" si="3"/>
        <v>38</v>
      </c>
      <c r="K115" t="str">
        <f t="shared" si="2"/>
        <v/>
      </c>
    </row>
    <row r="116" spans="1:11" x14ac:dyDescent="0.3">
      <c r="A116" s="9" t="s">
        <v>34</v>
      </c>
      <c r="B116" s="47" t="s">
        <v>174</v>
      </c>
      <c r="C116" s="8" t="s">
        <v>637</v>
      </c>
      <c r="D116" s="8" t="s">
        <v>632</v>
      </c>
      <c r="E116" s="8"/>
      <c r="F116" s="8"/>
      <c r="G116" s="8"/>
      <c r="H116" s="10">
        <v>6.1</v>
      </c>
      <c r="I116" s="54">
        <f>VLOOKUP(A116,İstasyonlar!$A$2:$D$776,4,0)</f>
        <v>1000000</v>
      </c>
      <c r="J116" s="54">
        <f t="shared" si="3"/>
        <v>38</v>
      </c>
      <c r="K116" t="str">
        <f t="shared" si="2"/>
        <v/>
      </c>
    </row>
    <row r="117" spans="1:11" x14ac:dyDescent="0.3">
      <c r="A117" s="9" t="s">
        <v>34</v>
      </c>
      <c r="B117" s="47" t="s">
        <v>175</v>
      </c>
      <c r="C117" s="8" t="s">
        <v>637</v>
      </c>
      <c r="D117" s="8" t="s">
        <v>632</v>
      </c>
      <c r="E117" s="8"/>
      <c r="F117" s="8"/>
      <c r="G117" s="8"/>
      <c r="H117" s="10">
        <v>0.5</v>
      </c>
      <c r="I117" s="54">
        <f>VLOOKUP(A117,İstasyonlar!$A$2:$D$776,4,0)</f>
        <v>1000000</v>
      </c>
      <c r="J117" s="54">
        <f t="shared" si="3"/>
        <v>38</v>
      </c>
      <c r="K117" t="str">
        <f t="shared" si="2"/>
        <v/>
      </c>
    </row>
    <row r="118" spans="1:11" x14ac:dyDescent="0.3">
      <c r="A118" s="9" t="s">
        <v>382</v>
      </c>
      <c r="B118" s="47" t="s">
        <v>471</v>
      </c>
      <c r="C118" s="8" t="s">
        <v>639</v>
      </c>
      <c r="D118" s="8" t="s">
        <v>640</v>
      </c>
      <c r="E118" s="8"/>
      <c r="F118" s="8"/>
      <c r="G118" s="8"/>
      <c r="H118" s="10">
        <v>11.3</v>
      </c>
      <c r="I118" s="54">
        <f>VLOOKUP(A118,İstasyonlar!$A$2:$D$776,4,0)</f>
        <v>999999999</v>
      </c>
      <c r="J118" s="54">
        <f t="shared" si="3"/>
        <v>39</v>
      </c>
      <c r="K118" t="str">
        <f t="shared" si="2"/>
        <v>Sabit</v>
      </c>
    </row>
    <row r="119" spans="1:11" x14ac:dyDescent="0.3">
      <c r="A119" s="9" t="s">
        <v>382</v>
      </c>
      <c r="B119" s="47" t="s">
        <v>472</v>
      </c>
      <c r="C119" s="8" t="s">
        <v>639</v>
      </c>
      <c r="D119" s="8" t="s">
        <v>640</v>
      </c>
      <c r="E119" s="8"/>
      <c r="F119" s="8"/>
      <c r="G119" s="8"/>
      <c r="H119" s="10">
        <v>4.9000000000000004</v>
      </c>
      <c r="I119" s="54">
        <f>VLOOKUP(A119,İstasyonlar!$A$2:$D$776,4,0)</f>
        <v>999999999</v>
      </c>
      <c r="J119" s="54">
        <f t="shared" si="3"/>
        <v>39</v>
      </c>
      <c r="K119" t="str">
        <f t="shared" si="2"/>
        <v>Sabit</v>
      </c>
    </row>
    <row r="120" spans="1:11" x14ac:dyDescent="0.3">
      <c r="A120" s="9" t="s">
        <v>382</v>
      </c>
      <c r="B120" s="47" t="s">
        <v>473</v>
      </c>
      <c r="C120" s="8" t="s">
        <v>639</v>
      </c>
      <c r="D120" s="8" t="s">
        <v>640</v>
      </c>
      <c r="E120" s="8"/>
      <c r="F120" s="8"/>
      <c r="G120" s="8"/>
      <c r="H120" s="10">
        <v>2.1</v>
      </c>
      <c r="I120" s="54">
        <f>VLOOKUP(A120,İstasyonlar!$A$2:$D$776,4,0)</f>
        <v>999999999</v>
      </c>
      <c r="J120" s="54">
        <f t="shared" si="3"/>
        <v>39</v>
      </c>
      <c r="K120" t="str">
        <f t="shared" si="2"/>
        <v>Sabit</v>
      </c>
    </row>
    <row r="121" spans="1:11" x14ac:dyDescent="0.3">
      <c r="A121" s="9" t="s">
        <v>382</v>
      </c>
      <c r="B121" s="47" t="s">
        <v>474</v>
      </c>
      <c r="C121" s="8" t="s">
        <v>639</v>
      </c>
      <c r="D121" s="8" t="s">
        <v>640</v>
      </c>
      <c r="E121" s="8"/>
      <c r="F121" s="8"/>
      <c r="G121" s="8"/>
      <c r="H121" s="10">
        <v>1</v>
      </c>
      <c r="I121" s="54">
        <f>VLOOKUP(A121,İstasyonlar!$A$2:$D$776,4,0)</f>
        <v>999999999</v>
      </c>
      <c r="J121" s="54">
        <f t="shared" si="3"/>
        <v>39</v>
      </c>
      <c r="K121" t="str">
        <f t="shared" si="2"/>
        <v>Sabit</v>
      </c>
    </row>
    <row r="122" spans="1:11" x14ac:dyDescent="0.3">
      <c r="A122" s="9" t="s">
        <v>35</v>
      </c>
      <c r="B122" s="47" t="s">
        <v>176</v>
      </c>
      <c r="C122" s="8" t="s">
        <v>640</v>
      </c>
      <c r="D122" s="8" t="s">
        <v>639</v>
      </c>
      <c r="E122" s="8" t="s">
        <v>644</v>
      </c>
      <c r="F122" s="8"/>
      <c r="G122" s="8"/>
      <c r="H122" s="10">
        <v>0.5</v>
      </c>
      <c r="I122" s="54">
        <f>VLOOKUP(A122,İstasyonlar!$A$2:$D$776,4,0)</f>
        <v>999999999</v>
      </c>
      <c r="J122" s="54">
        <f t="shared" si="3"/>
        <v>40</v>
      </c>
      <c r="K122" t="str">
        <f t="shared" si="2"/>
        <v>Sabit</v>
      </c>
    </row>
    <row r="123" spans="1:11" x14ac:dyDescent="0.3">
      <c r="A123" s="9" t="s">
        <v>35</v>
      </c>
      <c r="B123" s="47" t="s">
        <v>177</v>
      </c>
      <c r="C123" s="8" t="s">
        <v>640</v>
      </c>
      <c r="D123" s="8" t="s">
        <v>639</v>
      </c>
      <c r="E123" s="8" t="s">
        <v>644</v>
      </c>
      <c r="F123" s="8"/>
      <c r="G123" s="8"/>
      <c r="H123" s="10">
        <v>4.2</v>
      </c>
      <c r="I123" s="54">
        <f>VLOOKUP(A123,İstasyonlar!$A$2:$D$776,4,0)</f>
        <v>999999999</v>
      </c>
      <c r="J123" s="54">
        <f t="shared" si="3"/>
        <v>40</v>
      </c>
      <c r="K123" t="str">
        <f t="shared" si="2"/>
        <v>Sabit</v>
      </c>
    </row>
    <row r="124" spans="1:11" x14ac:dyDescent="0.3">
      <c r="A124" s="9" t="s">
        <v>35</v>
      </c>
      <c r="B124" s="47" t="s">
        <v>178</v>
      </c>
      <c r="C124" s="8" t="s">
        <v>640</v>
      </c>
      <c r="D124" s="8" t="s">
        <v>639</v>
      </c>
      <c r="E124" s="8" t="s">
        <v>644</v>
      </c>
      <c r="F124" s="8"/>
      <c r="G124" s="8"/>
      <c r="H124" s="10">
        <v>6.3</v>
      </c>
      <c r="I124" s="54">
        <f>VLOOKUP(A124,İstasyonlar!$A$2:$D$776,4,0)</f>
        <v>999999999</v>
      </c>
      <c r="J124" s="54">
        <f t="shared" si="3"/>
        <v>40</v>
      </c>
      <c r="K124" t="str">
        <f t="shared" si="2"/>
        <v>Sabit</v>
      </c>
    </row>
    <row r="125" spans="1:11" x14ac:dyDescent="0.3">
      <c r="A125" s="9" t="s">
        <v>35</v>
      </c>
      <c r="B125" s="47" t="s">
        <v>179</v>
      </c>
      <c r="C125" s="8" t="s">
        <v>640</v>
      </c>
      <c r="D125" s="8" t="s">
        <v>639</v>
      </c>
      <c r="E125" s="8" t="s">
        <v>644</v>
      </c>
      <c r="F125" s="8"/>
      <c r="G125" s="8"/>
      <c r="H125" s="10">
        <v>6.4</v>
      </c>
      <c r="I125" s="54">
        <f>VLOOKUP(A125,İstasyonlar!$A$2:$D$776,4,0)</f>
        <v>999999999</v>
      </c>
      <c r="J125" s="54">
        <f t="shared" si="3"/>
        <v>40</v>
      </c>
      <c r="K125" t="str">
        <f t="shared" si="2"/>
        <v>Sabit</v>
      </c>
    </row>
    <row r="126" spans="1:11" x14ac:dyDescent="0.3">
      <c r="A126" s="9" t="s">
        <v>35</v>
      </c>
      <c r="B126" s="47" t="s">
        <v>180</v>
      </c>
      <c r="C126" s="8" t="s">
        <v>640</v>
      </c>
      <c r="D126" s="8" t="s">
        <v>639</v>
      </c>
      <c r="E126" s="8" t="s">
        <v>644</v>
      </c>
      <c r="F126" s="8"/>
      <c r="G126" s="8"/>
      <c r="H126" s="10">
        <v>0.5</v>
      </c>
      <c r="I126" s="54">
        <f>VLOOKUP(A126,İstasyonlar!$A$2:$D$776,4,0)</f>
        <v>999999999</v>
      </c>
      <c r="J126" s="54">
        <f t="shared" si="3"/>
        <v>40</v>
      </c>
      <c r="K126" t="str">
        <f t="shared" si="2"/>
        <v>Sabit</v>
      </c>
    </row>
    <row r="127" spans="1:11" x14ac:dyDescent="0.3">
      <c r="A127" s="9" t="s">
        <v>738</v>
      </c>
      <c r="B127" s="47" t="s">
        <v>739</v>
      </c>
      <c r="C127" s="8" t="s">
        <v>646</v>
      </c>
      <c r="D127" s="8" t="s">
        <v>647</v>
      </c>
      <c r="E127" s="8"/>
      <c r="F127" s="8"/>
      <c r="G127" s="8"/>
      <c r="H127" s="10">
        <v>5.0999999999999996</v>
      </c>
      <c r="I127" s="54">
        <f>VLOOKUP(A127,İstasyonlar!$A$2:$D$776,4,0)</f>
        <v>999999999</v>
      </c>
      <c r="J127" s="54">
        <f t="shared" si="3"/>
        <v>41</v>
      </c>
      <c r="K127" t="str">
        <f t="shared" si="2"/>
        <v>Sabit</v>
      </c>
    </row>
    <row r="128" spans="1:11" x14ac:dyDescent="0.3">
      <c r="A128" s="9" t="s">
        <v>738</v>
      </c>
      <c r="B128" s="47" t="s">
        <v>740</v>
      </c>
      <c r="C128" s="8" t="s">
        <v>646</v>
      </c>
      <c r="D128" s="8" t="s">
        <v>647</v>
      </c>
      <c r="E128" s="8"/>
      <c r="F128" s="8"/>
      <c r="G128" s="8"/>
      <c r="H128" s="10">
        <v>3.5</v>
      </c>
      <c r="I128" s="54">
        <f>VLOOKUP(A128,İstasyonlar!$A$2:$D$776,4,0)</f>
        <v>999999999</v>
      </c>
      <c r="J128" s="54">
        <f t="shared" si="3"/>
        <v>41</v>
      </c>
      <c r="K128" t="str">
        <f t="shared" si="2"/>
        <v>Sabit</v>
      </c>
    </row>
    <row r="129" spans="1:11" x14ac:dyDescent="0.3">
      <c r="A129" s="9" t="s">
        <v>738</v>
      </c>
      <c r="B129" s="47" t="s">
        <v>741</v>
      </c>
      <c r="C129" s="8" t="s">
        <v>646</v>
      </c>
      <c r="D129" s="8" t="s">
        <v>647</v>
      </c>
      <c r="E129" s="8"/>
      <c r="F129" s="8"/>
      <c r="G129" s="8"/>
      <c r="H129" s="10">
        <v>2.8</v>
      </c>
      <c r="I129" s="54">
        <f>VLOOKUP(A129,İstasyonlar!$A$2:$D$776,4,0)</f>
        <v>999999999</v>
      </c>
      <c r="J129" s="54">
        <f t="shared" si="3"/>
        <v>41</v>
      </c>
      <c r="K129" t="str">
        <f t="shared" si="2"/>
        <v>Sabit</v>
      </c>
    </row>
    <row r="130" spans="1:11" x14ac:dyDescent="0.3">
      <c r="A130" s="9" t="s">
        <v>738</v>
      </c>
      <c r="B130" s="47" t="s">
        <v>742</v>
      </c>
      <c r="C130" s="8" t="s">
        <v>646</v>
      </c>
      <c r="D130" s="8" t="s">
        <v>647</v>
      </c>
      <c r="E130" s="8"/>
      <c r="F130" s="8"/>
      <c r="G130" s="8"/>
      <c r="H130" s="10">
        <v>1</v>
      </c>
      <c r="I130" s="54">
        <f>VLOOKUP(A130,İstasyonlar!$A$2:$D$776,4,0)</f>
        <v>999999999</v>
      </c>
      <c r="J130" s="54">
        <f t="shared" si="3"/>
        <v>41</v>
      </c>
      <c r="K130" t="str">
        <f t="shared" ref="K130:K193" si="4">IF(I130=1000000,"","Sabit")</f>
        <v>Sabit</v>
      </c>
    </row>
    <row r="131" spans="1:11" x14ac:dyDescent="0.3">
      <c r="A131" s="9" t="s">
        <v>37</v>
      </c>
      <c r="B131" s="47" t="s">
        <v>181</v>
      </c>
      <c r="C131" s="8" t="s">
        <v>644</v>
      </c>
      <c r="D131" s="8" t="s">
        <v>635</v>
      </c>
      <c r="E131" s="8" t="s">
        <v>646</v>
      </c>
      <c r="F131" s="8"/>
      <c r="G131" s="8"/>
      <c r="H131" s="10">
        <v>0.5</v>
      </c>
      <c r="I131" s="54">
        <f>VLOOKUP(A131,İstasyonlar!$A$2:$D$776,4,0)</f>
        <v>1000000</v>
      </c>
      <c r="J131" s="54">
        <f t="shared" ref="J131:J194" si="5">IF(A131=A130, J130, J130+1)</f>
        <v>42</v>
      </c>
      <c r="K131" t="str">
        <f t="shared" si="4"/>
        <v/>
      </c>
    </row>
    <row r="132" spans="1:11" x14ac:dyDescent="0.3">
      <c r="A132" s="9" t="s">
        <v>37</v>
      </c>
      <c r="B132" s="47" t="s">
        <v>182</v>
      </c>
      <c r="C132" s="8" t="s">
        <v>644</v>
      </c>
      <c r="D132" s="8" t="s">
        <v>635</v>
      </c>
      <c r="E132" s="8" t="s">
        <v>646</v>
      </c>
      <c r="F132" s="8"/>
      <c r="G132" s="8"/>
      <c r="H132" s="10">
        <v>2.8</v>
      </c>
      <c r="I132" s="54">
        <f>VLOOKUP(A132,İstasyonlar!$A$2:$D$776,4,0)</f>
        <v>1000000</v>
      </c>
      <c r="J132" s="54">
        <f t="shared" si="5"/>
        <v>42</v>
      </c>
      <c r="K132" t="str">
        <f t="shared" si="4"/>
        <v/>
      </c>
    </row>
    <row r="133" spans="1:11" x14ac:dyDescent="0.3">
      <c r="A133" s="9" t="s">
        <v>37</v>
      </c>
      <c r="B133" s="47" t="s">
        <v>183</v>
      </c>
      <c r="C133" s="8" t="s">
        <v>644</v>
      </c>
      <c r="D133" s="8" t="s">
        <v>635</v>
      </c>
      <c r="E133" s="8" t="s">
        <v>646</v>
      </c>
      <c r="F133" s="8"/>
      <c r="G133" s="8"/>
      <c r="H133" s="10">
        <v>5.5</v>
      </c>
      <c r="I133" s="54">
        <f>VLOOKUP(A133,İstasyonlar!$A$2:$D$776,4,0)</f>
        <v>1000000</v>
      </c>
      <c r="J133" s="54">
        <f t="shared" si="5"/>
        <v>42</v>
      </c>
      <c r="K133" t="str">
        <f t="shared" si="4"/>
        <v/>
      </c>
    </row>
    <row r="134" spans="1:11" x14ac:dyDescent="0.3">
      <c r="A134" s="9" t="s">
        <v>37</v>
      </c>
      <c r="B134" s="47" t="s">
        <v>184</v>
      </c>
      <c r="C134" s="8" t="s">
        <v>644</v>
      </c>
      <c r="D134" s="8" t="s">
        <v>635</v>
      </c>
      <c r="E134" s="8" t="s">
        <v>646</v>
      </c>
      <c r="F134" s="8"/>
      <c r="G134" s="8"/>
      <c r="H134" s="10">
        <v>3.8</v>
      </c>
      <c r="I134" s="54">
        <f>VLOOKUP(A134,İstasyonlar!$A$2:$D$776,4,0)</f>
        <v>1000000</v>
      </c>
      <c r="J134" s="54">
        <f t="shared" si="5"/>
        <v>42</v>
      </c>
      <c r="K134" t="str">
        <f t="shared" si="4"/>
        <v/>
      </c>
    </row>
    <row r="135" spans="1:11" x14ac:dyDescent="0.3">
      <c r="A135" s="9" t="s">
        <v>37</v>
      </c>
      <c r="B135" s="47" t="s">
        <v>185</v>
      </c>
      <c r="C135" s="8" t="s">
        <v>644</v>
      </c>
      <c r="D135" s="8" t="s">
        <v>635</v>
      </c>
      <c r="E135" s="8" t="s">
        <v>646</v>
      </c>
      <c r="F135" s="8"/>
      <c r="G135" s="8"/>
      <c r="H135" s="10">
        <v>0.5</v>
      </c>
      <c r="I135" s="54">
        <f>VLOOKUP(A135,İstasyonlar!$A$2:$D$776,4,0)</f>
        <v>1000000</v>
      </c>
      <c r="J135" s="54">
        <f t="shared" si="5"/>
        <v>42</v>
      </c>
      <c r="K135" t="str">
        <f t="shared" si="4"/>
        <v/>
      </c>
    </row>
    <row r="136" spans="1:11" x14ac:dyDescent="0.3">
      <c r="A136" s="9" t="s">
        <v>58</v>
      </c>
      <c r="B136" s="47" t="s">
        <v>187</v>
      </c>
      <c r="C136" s="8" t="s">
        <v>647</v>
      </c>
      <c r="D136" s="8" t="s">
        <v>646</v>
      </c>
      <c r="E136" s="8"/>
      <c r="F136" s="8"/>
      <c r="G136" s="8"/>
      <c r="H136" s="10">
        <v>5.3</v>
      </c>
      <c r="I136" s="54">
        <f>VLOOKUP(A136,İstasyonlar!$A$2:$D$776,4,0)</f>
        <v>999999999</v>
      </c>
      <c r="J136" s="54">
        <f t="shared" si="5"/>
        <v>43</v>
      </c>
      <c r="K136" t="str">
        <f t="shared" si="4"/>
        <v>Sabit</v>
      </c>
    </row>
    <row r="137" spans="1:11" x14ac:dyDescent="0.3">
      <c r="A137" s="9" t="s">
        <v>58</v>
      </c>
      <c r="B137" s="47" t="s">
        <v>188</v>
      </c>
      <c r="C137" s="8" t="s">
        <v>647</v>
      </c>
      <c r="D137" s="8" t="s">
        <v>646</v>
      </c>
      <c r="E137" s="8"/>
      <c r="F137" s="8"/>
      <c r="G137" s="8"/>
      <c r="H137" s="10">
        <v>2.6</v>
      </c>
      <c r="I137" s="54">
        <f>VLOOKUP(A137,İstasyonlar!$A$2:$D$776,4,0)</f>
        <v>999999999</v>
      </c>
      <c r="J137" s="54">
        <f t="shared" si="5"/>
        <v>43</v>
      </c>
      <c r="K137" t="str">
        <f t="shared" si="4"/>
        <v>Sabit</v>
      </c>
    </row>
    <row r="138" spans="1:11" x14ac:dyDescent="0.3">
      <c r="A138" s="9" t="s">
        <v>58</v>
      </c>
      <c r="B138" s="47" t="s">
        <v>189</v>
      </c>
      <c r="C138" s="8" t="s">
        <v>647</v>
      </c>
      <c r="D138" s="8" t="s">
        <v>646</v>
      </c>
      <c r="E138" s="8"/>
      <c r="F138" s="8"/>
      <c r="G138" s="8"/>
      <c r="H138" s="10">
        <v>0.5</v>
      </c>
      <c r="I138" s="54">
        <f>VLOOKUP(A138,İstasyonlar!$A$2:$D$776,4,0)</f>
        <v>999999999</v>
      </c>
      <c r="J138" s="54">
        <f t="shared" si="5"/>
        <v>43</v>
      </c>
      <c r="K138" t="str">
        <f t="shared" si="4"/>
        <v>Sabit</v>
      </c>
    </row>
    <row r="139" spans="1:11" x14ac:dyDescent="0.3">
      <c r="A139" s="9" t="s">
        <v>36</v>
      </c>
      <c r="B139" s="47" t="s">
        <v>192</v>
      </c>
      <c r="C139" s="8" t="s">
        <v>651</v>
      </c>
      <c r="D139" s="8"/>
      <c r="E139" s="8"/>
      <c r="F139" s="8" t="s">
        <v>644</v>
      </c>
      <c r="G139" s="8"/>
      <c r="H139" s="10">
        <v>5.8</v>
      </c>
      <c r="I139" s="54">
        <f>VLOOKUP(A139,İstasyonlar!$A$2:$D$776,4,0)</f>
        <v>1000000</v>
      </c>
      <c r="J139" s="54">
        <f t="shared" si="5"/>
        <v>44</v>
      </c>
      <c r="K139" t="str">
        <f t="shared" si="4"/>
        <v/>
      </c>
    </row>
    <row r="140" spans="1:11" x14ac:dyDescent="0.3">
      <c r="A140" s="9" t="s">
        <v>36</v>
      </c>
      <c r="B140" s="47" t="s">
        <v>193</v>
      </c>
      <c r="C140" s="8" t="s">
        <v>651</v>
      </c>
      <c r="D140" s="8"/>
      <c r="E140" s="8"/>
      <c r="F140" s="8" t="s">
        <v>644</v>
      </c>
      <c r="G140" s="8"/>
      <c r="H140" s="10">
        <v>5.6</v>
      </c>
      <c r="I140" s="54">
        <f>VLOOKUP(A140,İstasyonlar!$A$2:$D$776,4,0)</f>
        <v>1000000</v>
      </c>
      <c r="J140" s="54">
        <f t="shared" si="5"/>
        <v>44</v>
      </c>
      <c r="K140" t="str">
        <f t="shared" si="4"/>
        <v/>
      </c>
    </row>
    <row r="141" spans="1:11" x14ac:dyDescent="0.3">
      <c r="A141" s="9" t="s">
        <v>36</v>
      </c>
      <c r="B141" s="47" t="s">
        <v>190</v>
      </c>
      <c r="C141" s="8" t="s">
        <v>651</v>
      </c>
      <c r="D141" s="8"/>
      <c r="E141" s="8"/>
      <c r="F141" s="8" t="s">
        <v>644</v>
      </c>
      <c r="G141" s="8"/>
      <c r="H141" s="10">
        <v>4.0999999999999996</v>
      </c>
      <c r="I141" s="54">
        <f>VLOOKUP(A141,İstasyonlar!$A$2:$D$776,4,0)</f>
        <v>1000000</v>
      </c>
      <c r="J141" s="54">
        <f t="shared" si="5"/>
        <v>44</v>
      </c>
      <c r="K141" t="str">
        <f t="shared" si="4"/>
        <v/>
      </c>
    </row>
    <row r="142" spans="1:11" x14ac:dyDescent="0.3">
      <c r="A142" s="9" t="s">
        <v>36</v>
      </c>
      <c r="B142" s="47" t="s">
        <v>191</v>
      </c>
      <c r="C142" s="8" t="s">
        <v>651</v>
      </c>
      <c r="D142" s="8"/>
      <c r="E142" s="8"/>
      <c r="F142" s="8" t="s">
        <v>644</v>
      </c>
      <c r="G142" s="8"/>
      <c r="H142" s="10">
        <v>4.0999999999999996</v>
      </c>
      <c r="I142" s="54">
        <f>VLOOKUP(A142,İstasyonlar!$A$2:$D$776,4,0)</f>
        <v>1000000</v>
      </c>
      <c r="J142" s="54">
        <f t="shared" si="5"/>
        <v>44</v>
      </c>
      <c r="K142" t="str">
        <f t="shared" si="4"/>
        <v/>
      </c>
    </row>
    <row r="143" spans="1:11" x14ac:dyDescent="0.3">
      <c r="A143" s="9" t="s">
        <v>30</v>
      </c>
      <c r="B143" s="47" t="s">
        <v>195</v>
      </c>
      <c r="C143" s="8" t="s">
        <v>652</v>
      </c>
      <c r="D143" s="8" t="s">
        <v>653</v>
      </c>
      <c r="E143" s="8"/>
      <c r="F143" s="8"/>
      <c r="G143" s="8"/>
      <c r="H143" s="10">
        <v>2.6</v>
      </c>
      <c r="I143" s="54">
        <f>VLOOKUP(A143,İstasyonlar!$A$2:$D$776,4,0)</f>
        <v>1000000</v>
      </c>
      <c r="J143" s="54">
        <f t="shared" si="5"/>
        <v>45</v>
      </c>
      <c r="K143" t="str">
        <f t="shared" si="4"/>
        <v/>
      </c>
    </row>
    <row r="144" spans="1:11" x14ac:dyDescent="0.3">
      <c r="A144" s="9" t="s">
        <v>30</v>
      </c>
      <c r="B144" s="47" t="s">
        <v>196</v>
      </c>
      <c r="C144" s="8" t="s">
        <v>652</v>
      </c>
      <c r="D144" s="8" t="s">
        <v>653</v>
      </c>
      <c r="E144" s="8"/>
      <c r="F144" s="8"/>
      <c r="G144" s="8"/>
      <c r="H144" s="10">
        <v>2.6</v>
      </c>
      <c r="I144" s="54">
        <f>VLOOKUP(A144,İstasyonlar!$A$2:$D$776,4,0)</f>
        <v>1000000</v>
      </c>
      <c r="J144" s="54">
        <f t="shared" si="5"/>
        <v>45</v>
      </c>
      <c r="K144" t="str">
        <f t="shared" si="4"/>
        <v/>
      </c>
    </row>
    <row r="145" spans="1:11" x14ac:dyDescent="0.3">
      <c r="A145" s="9" t="s">
        <v>30</v>
      </c>
      <c r="B145" s="47" t="s">
        <v>194</v>
      </c>
      <c r="C145" s="8" t="s">
        <v>652</v>
      </c>
      <c r="D145" s="8" t="s">
        <v>653</v>
      </c>
      <c r="E145" s="8"/>
      <c r="F145" s="8"/>
      <c r="G145" s="8"/>
      <c r="H145" s="10">
        <v>4.2</v>
      </c>
      <c r="I145" s="54">
        <f>VLOOKUP(A145,İstasyonlar!$A$2:$D$776,4,0)</f>
        <v>1000000</v>
      </c>
      <c r="J145" s="54">
        <f t="shared" si="5"/>
        <v>45</v>
      </c>
      <c r="K145" t="str">
        <f t="shared" si="4"/>
        <v/>
      </c>
    </row>
    <row r="146" spans="1:11" x14ac:dyDescent="0.3">
      <c r="A146" s="9" t="s">
        <v>30</v>
      </c>
      <c r="B146" s="47" t="s">
        <v>197</v>
      </c>
      <c r="C146" s="8" t="s">
        <v>652</v>
      </c>
      <c r="D146" s="8" t="s">
        <v>653</v>
      </c>
      <c r="E146" s="8"/>
      <c r="F146" s="8"/>
      <c r="G146" s="8"/>
      <c r="H146" s="10">
        <v>2.8</v>
      </c>
      <c r="I146" s="54">
        <f>VLOOKUP(A146,İstasyonlar!$A$2:$D$776,4,0)</f>
        <v>1000000</v>
      </c>
      <c r="J146" s="54">
        <f t="shared" si="5"/>
        <v>45</v>
      </c>
      <c r="K146" t="str">
        <f t="shared" si="4"/>
        <v/>
      </c>
    </row>
    <row r="147" spans="1:11" x14ac:dyDescent="0.3">
      <c r="A147" s="9" t="s">
        <v>38</v>
      </c>
      <c r="B147" s="47" t="s">
        <v>198</v>
      </c>
      <c r="C147" s="8" t="s">
        <v>653</v>
      </c>
      <c r="D147" s="8" t="s">
        <v>652</v>
      </c>
      <c r="E147" s="8"/>
      <c r="F147" s="8"/>
      <c r="G147" s="8"/>
      <c r="H147" s="10">
        <v>0.5</v>
      </c>
      <c r="I147" s="54">
        <f>VLOOKUP(A147,İstasyonlar!$A$2:$D$776,4,0)</f>
        <v>999999999</v>
      </c>
      <c r="J147" s="54">
        <f t="shared" si="5"/>
        <v>46</v>
      </c>
      <c r="K147" t="str">
        <f t="shared" si="4"/>
        <v>Sabit</v>
      </c>
    </row>
    <row r="148" spans="1:11" x14ac:dyDescent="0.3">
      <c r="A148" s="9" t="s">
        <v>38</v>
      </c>
      <c r="B148" s="47" t="s">
        <v>199</v>
      </c>
      <c r="C148" s="8" t="s">
        <v>653</v>
      </c>
      <c r="D148" s="8" t="s">
        <v>652</v>
      </c>
      <c r="E148" s="8"/>
      <c r="F148" s="8"/>
      <c r="G148" s="8"/>
      <c r="H148" s="10">
        <v>4</v>
      </c>
      <c r="I148" s="54">
        <f>VLOOKUP(A148,İstasyonlar!$A$2:$D$776,4,0)</f>
        <v>999999999</v>
      </c>
      <c r="J148" s="54">
        <f t="shared" si="5"/>
        <v>46</v>
      </c>
      <c r="K148" t="str">
        <f t="shared" si="4"/>
        <v>Sabit</v>
      </c>
    </row>
    <row r="149" spans="1:11" x14ac:dyDescent="0.3">
      <c r="A149" s="9" t="s">
        <v>38</v>
      </c>
      <c r="B149" s="47" t="s">
        <v>200</v>
      </c>
      <c r="C149" s="8" t="s">
        <v>653</v>
      </c>
      <c r="D149" s="8" t="s">
        <v>652</v>
      </c>
      <c r="E149" s="8"/>
      <c r="F149" s="8"/>
      <c r="G149" s="8"/>
      <c r="H149" s="10">
        <v>3.1</v>
      </c>
      <c r="I149" s="54">
        <f>VLOOKUP(A149,İstasyonlar!$A$2:$D$776,4,0)</f>
        <v>999999999</v>
      </c>
      <c r="J149" s="54">
        <f t="shared" si="5"/>
        <v>46</v>
      </c>
      <c r="K149" t="str">
        <f t="shared" si="4"/>
        <v>Sabit</v>
      </c>
    </row>
    <row r="150" spans="1:11" x14ac:dyDescent="0.3">
      <c r="A150" s="9" t="s">
        <v>38</v>
      </c>
      <c r="B150" s="47" t="s">
        <v>201</v>
      </c>
      <c r="C150" s="8" t="s">
        <v>653</v>
      </c>
      <c r="D150" s="8" t="s">
        <v>652</v>
      </c>
      <c r="E150" s="8"/>
      <c r="F150" s="8"/>
      <c r="G150" s="8"/>
      <c r="H150" s="10">
        <v>2.6</v>
      </c>
      <c r="I150" s="54">
        <f>VLOOKUP(A150,İstasyonlar!$A$2:$D$776,4,0)</f>
        <v>999999999</v>
      </c>
      <c r="J150" s="54">
        <f t="shared" si="5"/>
        <v>46</v>
      </c>
      <c r="K150" t="str">
        <f t="shared" si="4"/>
        <v>Sabit</v>
      </c>
    </row>
    <row r="151" spans="1:11" x14ac:dyDescent="0.3">
      <c r="A151" s="9" t="s">
        <v>38</v>
      </c>
      <c r="B151" s="47" t="s">
        <v>202</v>
      </c>
      <c r="C151" s="8" t="s">
        <v>653</v>
      </c>
      <c r="D151" s="8" t="s">
        <v>652</v>
      </c>
      <c r="E151" s="8"/>
      <c r="F151" s="8"/>
      <c r="G151" s="8"/>
      <c r="H151" s="10">
        <v>0.5</v>
      </c>
      <c r="I151" s="54">
        <f>VLOOKUP(A151,İstasyonlar!$A$2:$D$776,4,0)</f>
        <v>999999999</v>
      </c>
      <c r="J151" s="54">
        <f t="shared" si="5"/>
        <v>46</v>
      </c>
      <c r="K151" t="str">
        <f t="shared" si="4"/>
        <v>Sabit</v>
      </c>
    </row>
    <row r="152" spans="1:11" x14ac:dyDescent="0.3">
      <c r="A152" s="11" t="s">
        <v>40</v>
      </c>
      <c r="B152" s="48" t="s">
        <v>203</v>
      </c>
      <c r="C152" s="8" t="s">
        <v>655</v>
      </c>
      <c r="D152" s="8" t="s">
        <v>656</v>
      </c>
      <c r="E152" s="8"/>
      <c r="F152" s="8"/>
      <c r="G152" s="8"/>
      <c r="H152" s="10">
        <v>5.0999999999999996</v>
      </c>
      <c r="I152" s="54">
        <f>VLOOKUP(A152,İstasyonlar!$A$2:$D$776,4,0)</f>
        <v>1000000</v>
      </c>
      <c r="J152" s="54">
        <f t="shared" si="5"/>
        <v>47</v>
      </c>
      <c r="K152" t="str">
        <f t="shared" si="4"/>
        <v/>
      </c>
    </row>
    <row r="153" spans="1:11" x14ac:dyDescent="0.3">
      <c r="A153" s="11" t="s">
        <v>40</v>
      </c>
      <c r="B153" s="48" t="s">
        <v>204</v>
      </c>
      <c r="C153" s="8" t="s">
        <v>655</v>
      </c>
      <c r="D153" s="8" t="s">
        <v>656</v>
      </c>
      <c r="E153" s="8"/>
      <c r="F153" s="8"/>
      <c r="G153" s="8"/>
      <c r="H153" s="10">
        <v>4.0999999999999996</v>
      </c>
      <c r="I153" s="54">
        <f>VLOOKUP(A153,İstasyonlar!$A$2:$D$776,4,0)</f>
        <v>1000000</v>
      </c>
      <c r="J153" s="54">
        <f t="shared" si="5"/>
        <v>47</v>
      </c>
      <c r="K153" t="str">
        <f t="shared" si="4"/>
        <v/>
      </c>
    </row>
    <row r="154" spans="1:11" x14ac:dyDescent="0.3">
      <c r="A154" s="11" t="s">
        <v>40</v>
      </c>
      <c r="B154" s="48" t="s">
        <v>205</v>
      </c>
      <c r="C154" s="8" t="s">
        <v>655</v>
      </c>
      <c r="D154" s="8" t="s">
        <v>656</v>
      </c>
      <c r="E154" s="8"/>
      <c r="F154" s="8"/>
      <c r="G154" s="8"/>
      <c r="H154" s="10">
        <v>4.0999999999999996</v>
      </c>
      <c r="I154" s="54">
        <f>VLOOKUP(A154,İstasyonlar!$A$2:$D$776,4,0)</f>
        <v>1000000</v>
      </c>
      <c r="J154" s="54">
        <f t="shared" si="5"/>
        <v>47</v>
      </c>
      <c r="K154" t="str">
        <f t="shared" si="4"/>
        <v/>
      </c>
    </row>
    <row r="155" spans="1:11" x14ac:dyDescent="0.3">
      <c r="A155" s="11" t="s">
        <v>41</v>
      </c>
      <c r="B155" s="48" t="s">
        <v>211</v>
      </c>
      <c r="C155" s="8" t="s">
        <v>657</v>
      </c>
      <c r="D155" s="8" t="s">
        <v>658</v>
      </c>
      <c r="E155" s="8"/>
      <c r="F155" s="8"/>
      <c r="G155" s="8"/>
      <c r="H155" s="10">
        <v>0.5</v>
      </c>
      <c r="I155" s="54">
        <f>VLOOKUP(A155,İstasyonlar!$A$2:$D$776,4,0)</f>
        <v>999999999</v>
      </c>
      <c r="J155" s="54">
        <f t="shared" si="5"/>
        <v>48</v>
      </c>
      <c r="K155" t="str">
        <f t="shared" si="4"/>
        <v>Sabit</v>
      </c>
    </row>
    <row r="156" spans="1:11" x14ac:dyDescent="0.3">
      <c r="A156" s="11" t="s">
        <v>41</v>
      </c>
      <c r="B156" s="48" t="s">
        <v>212</v>
      </c>
      <c r="C156" s="8" t="s">
        <v>657</v>
      </c>
      <c r="D156" s="8" t="s">
        <v>658</v>
      </c>
      <c r="E156" s="8"/>
      <c r="F156" s="8"/>
      <c r="G156" s="8"/>
      <c r="H156" s="10">
        <v>12</v>
      </c>
      <c r="I156" s="54">
        <f>VLOOKUP(A156,İstasyonlar!$A$2:$D$776,4,0)</f>
        <v>999999999</v>
      </c>
      <c r="J156" s="54">
        <f t="shared" si="5"/>
        <v>48</v>
      </c>
      <c r="K156" t="str">
        <f t="shared" si="4"/>
        <v>Sabit</v>
      </c>
    </row>
    <row r="157" spans="1:11" x14ac:dyDescent="0.3">
      <c r="A157" s="11" t="s">
        <v>41</v>
      </c>
      <c r="B157" s="48" t="s">
        <v>213</v>
      </c>
      <c r="C157" s="8" t="s">
        <v>657</v>
      </c>
      <c r="D157" s="8" t="s">
        <v>658</v>
      </c>
      <c r="E157" s="8"/>
      <c r="F157" s="8"/>
      <c r="G157" s="8"/>
      <c r="H157" s="10">
        <v>4.0999999999999996</v>
      </c>
      <c r="I157" s="54">
        <f>VLOOKUP(A157,İstasyonlar!$A$2:$D$776,4,0)</f>
        <v>999999999</v>
      </c>
      <c r="J157" s="54">
        <f t="shared" si="5"/>
        <v>48</v>
      </c>
      <c r="K157" t="str">
        <f t="shared" si="4"/>
        <v>Sabit</v>
      </c>
    </row>
    <row r="158" spans="1:11" x14ac:dyDescent="0.3">
      <c r="A158" s="11" t="s">
        <v>41</v>
      </c>
      <c r="B158" s="48" t="s">
        <v>214</v>
      </c>
      <c r="C158" s="8" t="s">
        <v>657</v>
      </c>
      <c r="D158" s="8" t="s">
        <v>658</v>
      </c>
      <c r="E158" s="8"/>
      <c r="F158" s="8"/>
      <c r="G158" s="8"/>
      <c r="H158" s="10">
        <v>0.5</v>
      </c>
      <c r="I158" s="54">
        <f>VLOOKUP(A158,İstasyonlar!$A$2:$D$776,4,0)</f>
        <v>999999999</v>
      </c>
      <c r="J158" s="54">
        <f t="shared" si="5"/>
        <v>48</v>
      </c>
      <c r="K158" t="str">
        <f t="shared" si="4"/>
        <v>Sabit</v>
      </c>
    </row>
    <row r="159" spans="1:11" x14ac:dyDescent="0.3">
      <c r="A159" s="11" t="s">
        <v>42</v>
      </c>
      <c r="B159" s="48" t="s">
        <v>215</v>
      </c>
      <c r="C159" s="8" t="s">
        <v>658</v>
      </c>
      <c r="D159" s="8" t="s">
        <v>657</v>
      </c>
      <c r="E159" s="8"/>
      <c r="F159" s="8"/>
      <c r="G159" s="8"/>
      <c r="H159" s="10">
        <v>0.5</v>
      </c>
      <c r="I159" s="54">
        <f>VLOOKUP(A159,İstasyonlar!$A$2:$D$776,4,0)</f>
        <v>999999999</v>
      </c>
      <c r="J159" s="54">
        <f t="shared" si="5"/>
        <v>49</v>
      </c>
      <c r="K159" t="str">
        <f t="shared" si="4"/>
        <v>Sabit</v>
      </c>
    </row>
    <row r="160" spans="1:11" x14ac:dyDescent="0.3">
      <c r="A160" s="11" t="s">
        <v>42</v>
      </c>
      <c r="B160" s="48" t="s">
        <v>216</v>
      </c>
      <c r="C160" s="8" t="s">
        <v>658</v>
      </c>
      <c r="D160" s="8" t="s">
        <v>657</v>
      </c>
      <c r="E160" s="8"/>
      <c r="F160" s="8"/>
      <c r="G160" s="8"/>
      <c r="H160" s="10">
        <v>12</v>
      </c>
      <c r="I160" s="54">
        <f>VLOOKUP(A160,İstasyonlar!$A$2:$D$776,4,0)</f>
        <v>999999999</v>
      </c>
      <c r="J160" s="54">
        <f t="shared" si="5"/>
        <v>49</v>
      </c>
      <c r="K160" t="str">
        <f t="shared" si="4"/>
        <v>Sabit</v>
      </c>
    </row>
    <row r="161" spans="1:11" x14ac:dyDescent="0.3">
      <c r="A161" s="11" t="s">
        <v>42</v>
      </c>
      <c r="B161" s="48" t="s">
        <v>217</v>
      </c>
      <c r="C161" s="8" t="s">
        <v>658</v>
      </c>
      <c r="D161" s="8" t="s">
        <v>657</v>
      </c>
      <c r="E161" s="8"/>
      <c r="F161" s="8"/>
      <c r="G161" s="8"/>
      <c r="H161" s="10">
        <v>4.0999999999999996</v>
      </c>
      <c r="I161" s="54">
        <f>VLOOKUP(A161,İstasyonlar!$A$2:$D$776,4,0)</f>
        <v>999999999</v>
      </c>
      <c r="J161" s="54">
        <f t="shared" si="5"/>
        <v>49</v>
      </c>
      <c r="K161" t="str">
        <f t="shared" si="4"/>
        <v>Sabit</v>
      </c>
    </row>
    <row r="162" spans="1:11" x14ac:dyDescent="0.3">
      <c r="A162" s="11" t="s">
        <v>42</v>
      </c>
      <c r="B162" s="48" t="s">
        <v>218</v>
      </c>
      <c r="C162" s="8" t="s">
        <v>658</v>
      </c>
      <c r="D162" s="8" t="s">
        <v>657</v>
      </c>
      <c r="E162" s="8"/>
      <c r="F162" s="8"/>
      <c r="G162" s="8"/>
      <c r="H162" s="10">
        <v>0.5</v>
      </c>
      <c r="I162" s="54">
        <f>VLOOKUP(A162,İstasyonlar!$A$2:$D$776,4,0)</f>
        <v>999999999</v>
      </c>
      <c r="J162" s="54">
        <f t="shared" si="5"/>
        <v>49</v>
      </c>
      <c r="K162" t="str">
        <f t="shared" si="4"/>
        <v>Sabit</v>
      </c>
    </row>
    <row r="163" spans="1:11" x14ac:dyDescent="0.3">
      <c r="A163" s="11" t="s">
        <v>43</v>
      </c>
      <c r="B163" s="48" t="s">
        <v>219</v>
      </c>
      <c r="C163" s="8" t="s">
        <v>659</v>
      </c>
      <c r="D163" s="8" t="s">
        <v>660</v>
      </c>
      <c r="E163" s="8"/>
      <c r="F163" s="8"/>
      <c r="G163" s="8"/>
      <c r="H163" s="10">
        <v>5.0999999999999996</v>
      </c>
      <c r="I163" s="54">
        <f>VLOOKUP(A163,İstasyonlar!$A$2:$D$776,4,0)</f>
        <v>1000000</v>
      </c>
      <c r="J163" s="54">
        <f t="shared" si="5"/>
        <v>50</v>
      </c>
      <c r="K163" t="str">
        <f t="shared" si="4"/>
        <v/>
      </c>
    </row>
    <row r="164" spans="1:11" x14ac:dyDescent="0.3">
      <c r="A164" s="11" t="s">
        <v>43</v>
      </c>
      <c r="B164" s="48" t="s">
        <v>220</v>
      </c>
      <c r="C164" s="8" t="s">
        <v>659</v>
      </c>
      <c r="D164" s="8" t="s">
        <v>660</v>
      </c>
      <c r="E164" s="8"/>
      <c r="F164" s="8"/>
      <c r="G164" s="8"/>
      <c r="H164" s="10">
        <v>6</v>
      </c>
      <c r="I164" s="54">
        <f>VLOOKUP(A164,İstasyonlar!$A$2:$D$776,4,0)</f>
        <v>1000000</v>
      </c>
      <c r="J164" s="54">
        <f t="shared" si="5"/>
        <v>50</v>
      </c>
      <c r="K164" t="str">
        <f t="shared" si="4"/>
        <v/>
      </c>
    </row>
    <row r="165" spans="1:11" x14ac:dyDescent="0.3">
      <c r="A165" s="11" t="s">
        <v>43</v>
      </c>
      <c r="B165" s="48" t="s">
        <v>221</v>
      </c>
      <c r="C165" s="8" t="s">
        <v>659</v>
      </c>
      <c r="D165" s="8" t="s">
        <v>660</v>
      </c>
      <c r="E165" s="8"/>
      <c r="F165" s="8"/>
      <c r="G165" s="8"/>
      <c r="H165" s="10">
        <v>3.8</v>
      </c>
      <c r="I165" s="54">
        <f>VLOOKUP(A165,İstasyonlar!$A$2:$D$776,4,0)</f>
        <v>1000000</v>
      </c>
      <c r="J165" s="54">
        <f t="shared" si="5"/>
        <v>50</v>
      </c>
      <c r="K165" t="str">
        <f t="shared" si="4"/>
        <v/>
      </c>
    </row>
    <row r="166" spans="1:11" x14ac:dyDescent="0.3">
      <c r="A166" s="11" t="s">
        <v>31</v>
      </c>
      <c r="B166" s="48" t="s">
        <v>222</v>
      </c>
      <c r="C166" s="8" t="s">
        <v>660</v>
      </c>
      <c r="D166" s="8" t="s">
        <v>659</v>
      </c>
      <c r="E166" s="8"/>
      <c r="F166" s="8"/>
      <c r="G166" s="8"/>
      <c r="H166" s="10">
        <v>8.5</v>
      </c>
      <c r="I166" s="54">
        <f>VLOOKUP(A166,İstasyonlar!$A$2:$D$776,4,0)</f>
        <v>1000000</v>
      </c>
      <c r="J166" s="54">
        <f t="shared" si="5"/>
        <v>51</v>
      </c>
      <c r="K166" t="str">
        <f t="shared" si="4"/>
        <v/>
      </c>
    </row>
    <row r="167" spans="1:11" x14ac:dyDescent="0.3">
      <c r="A167" s="11" t="s">
        <v>31</v>
      </c>
      <c r="B167" s="48" t="s">
        <v>223</v>
      </c>
      <c r="C167" s="8" t="s">
        <v>660</v>
      </c>
      <c r="D167" s="8" t="s">
        <v>659</v>
      </c>
      <c r="E167" s="8"/>
      <c r="F167" s="8"/>
      <c r="G167" s="8"/>
      <c r="H167" s="10">
        <v>2.5</v>
      </c>
      <c r="I167" s="54">
        <f>VLOOKUP(A167,İstasyonlar!$A$2:$D$776,4,0)</f>
        <v>1000000</v>
      </c>
      <c r="J167" s="54">
        <f t="shared" si="5"/>
        <v>51</v>
      </c>
      <c r="K167" t="str">
        <f t="shared" si="4"/>
        <v/>
      </c>
    </row>
    <row r="168" spans="1:11" x14ac:dyDescent="0.3">
      <c r="A168" s="11" t="s">
        <v>31</v>
      </c>
      <c r="B168" s="48" t="s">
        <v>224</v>
      </c>
      <c r="C168" s="8" t="s">
        <v>660</v>
      </c>
      <c r="D168" s="8" t="s">
        <v>659</v>
      </c>
      <c r="E168" s="8"/>
      <c r="F168" s="8"/>
      <c r="G168" s="8"/>
      <c r="H168" s="10">
        <v>2.8</v>
      </c>
      <c r="I168" s="54">
        <f>VLOOKUP(A168,İstasyonlar!$A$2:$D$776,4,0)</f>
        <v>1000000</v>
      </c>
      <c r="J168" s="54">
        <f t="shared" si="5"/>
        <v>51</v>
      </c>
      <c r="K168" t="str">
        <f t="shared" si="4"/>
        <v/>
      </c>
    </row>
    <row r="169" spans="1:11" x14ac:dyDescent="0.3">
      <c r="A169" s="11" t="s">
        <v>44</v>
      </c>
      <c r="B169" s="48" t="s">
        <v>225</v>
      </c>
      <c r="C169" s="8" t="s">
        <v>662</v>
      </c>
      <c r="D169" s="8"/>
      <c r="E169" s="8"/>
      <c r="F169" s="8"/>
      <c r="G169" s="8"/>
      <c r="H169" s="10">
        <v>3.8</v>
      </c>
      <c r="I169" s="54">
        <f>VLOOKUP(A169,İstasyonlar!$A$2:$D$776,4,0)</f>
        <v>999999999</v>
      </c>
      <c r="J169" s="54">
        <f t="shared" si="5"/>
        <v>52</v>
      </c>
      <c r="K169" t="str">
        <f t="shared" si="4"/>
        <v>Sabit</v>
      </c>
    </row>
    <row r="170" spans="1:11" x14ac:dyDescent="0.3">
      <c r="A170" s="11" t="s">
        <v>44</v>
      </c>
      <c r="B170" s="48" t="s">
        <v>226</v>
      </c>
      <c r="C170" s="8" t="s">
        <v>662</v>
      </c>
      <c r="D170" s="8"/>
      <c r="E170" s="8"/>
      <c r="F170" s="8"/>
      <c r="G170" s="8"/>
      <c r="H170" s="10">
        <v>3.5</v>
      </c>
      <c r="I170" s="54">
        <f>VLOOKUP(A170,İstasyonlar!$A$2:$D$776,4,0)</f>
        <v>999999999</v>
      </c>
      <c r="J170" s="54">
        <f t="shared" si="5"/>
        <v>52</v>
      </c>
      <c r="K170" t="str">
        <f t="shared" si="4"/>
        <v>Sabit</v>
      </c>
    </row>
    <row r="171" spans="1:11" x14ac:dyDescent="0.3">
      <c r="A171" s="11" t="s">
        <v>44</v>
      </c>
      <c r="B171" s="48" t="s">
        <v>227</v>
      </c>
      <c r="C171" s="8" t="s">
        <v>662</v>
      </c>
      <c r="D171" s="8"/>
      <c r="E171" s="8"/>
      <c r="F171" s="8"/>
      <c r="G171" s="8"/>
      <c r="H171" s="10">
        <v>3.8</v>
      </c>
      <c r="I171" s="54">
        <f>VLOOKUP(A171,İstasyonlar!$A$2:$D$776,4,0)</f>
        <v>999999999</v>
      </c>
      <c r="J171" s="54">
        <f t="shared" si="5"/>
        <v>52</v>
      </c>
      <c r="K171" t="str">
        <f t="shared" si="4"/>
        <v>Sabit</v>
      </c>
    </row>
    <row r="172" spans="1:11" x14ac:dyDescent="0.3">
      <c r="A172" s="11" t="s">
        <v>285</v>
      </c>
      <c r="B172" s="48" t="s">
        <v>297</v>
      </c>
      <c r="C172" s="8" t="s">
        <v>663</v>
      </c>
      <c r="D172" s="8"/>
      <c r="E172" s="8" t="s">
        <v>629</v>
      </c>
      <c r="F172" s="8"/>
      <c r="G172" s="8"/>
      <c r="H172" s="10">
        <v>0.5</v>
      </c>
      <c r="I172" s="54">
        <f>VLOOKUP(A172,İstasyonlar!$A$2:$D$776,4,0)</f>
        <v>1000000</v>
      </c>
      <c r="J172" s="54">
        <f t="shared" si="5"/>
        <v>53</v>
      </c>
      <c r="K172" t="str">
        <f t="shared" si="4"/>
        <v/>
      </c>
    </row>
    <row r="173" spans="1:11" x14ac:dyDescent="0.3">
      <c r="A173" s="11" t="s">
        <v>285</v>
      </c>
      <c r="B173" s="48" t="s">
        <v>298</v>
      </c>
      <c r="C173" s="8" t="s">
        <v>663</v>
      </c>
      <c r="D173" s="8"/>
      <c r="E173" s="8" t="s">
        <v>629</v>
      </c>
      <c r="F173" s="8"/>
      <c r="G173" s="8"/>
      <c r="H173" s="10">
        <v>3.4</v>
      </c>
      <c r="I173" s="54">
        <f>VLOOKUP(A173,İstasyonlar!$A$2:$D$776,4,0)</f>
        <v>1000000</v>
      </c>
      <c r="J173" s="54">
        <f t="shared" si="5"/>
        <v>53</v>
      </c>
      <c r="K173" t="str">
        <f t="shared" si="4"/>
        <v/>
      </c>
    </row>
    <row r="174" spans="1:11" x14ac:dyDescent="0.3">
      <c r="A174" s="11" t="s">
        <v>285</v>
      </c>
      <c r="B174" s="48" t="s">
        <v>299</v>
      </c>
      <c r="C174" s="8" t="s">
        <v>663</v>
      </c>
      <c r="D174" s="8"/>
      <c r="E174" s="8" t="s">
        <v>629</v>
      </c>
      <c r="F174" s="8"/>
      <c r="G174" s="8"/>
      <c r="H174" s="10">
        <v>2.1</v>
      </c>
      <c r="I174" s="54">
        <f>VLOOKUP(A174,İstasyonlar!$A$2:$D$776,4,0)</f>
        <v>1000000</v>
      </c>
      <c r="J174" s="54">
        <f t="shared" si="5"/>
        <v>53</v>
      </c>
      <c r="K174" t="str">
        <f t="shared" si="4"/>
        <v/>
      </c>
    </row>
    <row r="175" spans="1:11" x14ac:dyDescent="0.3">
      <c r="A175" s="11" t="s">
        <v>285</v>
      </c>
      <c r="B175" s="48" t="s">
        <v>300</v>
      </c>
      <c r="C175" s="8" t="s">
        <v>663</v>
      </c>
      <c r="D175" s="8"/>
      <c r="E175" s="8" t="s">
        <v>629</v>
      </c>
      <c r="F175" s="8"/>
      <c r="G175" s="8"/>
      <c r="H175" s="10">
        <v>7</v>
      </c>
      <c r="I175" s="54">
        <f>VLOOKUP(A175,İstasyonlar!$A$2:$D$776,4,0)</f>
        <v>1000000</v>
      </c>
      <c r="J175" s="54">
        <f t="shared" si="5"/>
        <v>53</v>
      </c>
      <c r="K175" t="str">
        <f t="shared" si="4"/>
        <v/>
      </c>
    </row>
    <row r="176" spans="1:11" x14ac:dyDescent="0.3">
      <c r="A176" s="11" t="s">
        <v>285</v>
      </c>
      <c r="B176" s="48" t="s">
        <v>301</v>
      </c>
      <c r="C176" s="8" t="s">
        <v>663</v>
      </c>
      <c r="D176" s="8"/>
      <c r="E176" s="8" t="s">
        <v>629</v>
      </c>
      <c r="F176" s="8"/>
      <c r="G176" s="8"/>
      <c r="H176" s="10">
        <v>4</v>
      </c>
      <c r="I176" s="54">
        <f>VLOOKUP(A176,İstasyonlar!$A$2:$D$776,4,0)</f>
        <v>1000000</v>
      </c>
      <c r="J176" s="54">
        <f t="shared" si="5"/>
        <v>53</v>
      </c>
      <c r="K176" t="str">
        <f t="shared" si="4"/>
        <v/>
      </c>
    </row>
    <row r="177" spans="1:11" x14ac:dyDescent="0.3">
      <c r="A177" s="11" t="s">
        <v>45</v>
      </c>
      <c r="B177" s="48" t="s">
        <v>228</v>
      </c>
      <c r="C177" s="8" t="s">
        <v>664</v>
      </c>
      <c r="D177" s="8" t="s">
        <v>663</v>
      </c>
      <c r="E177" s="8"/>
      <c r="F177" s="8"/>
      <c r="G177" s="8"/>
      <c r="H177" s="10">
        <v>3.4</v>
      </c>
      <c r="I177" s="54">
        <f>VLOOKUP(A177,İstasyonlar!$A$2:$D$776,4,0)</f>
        <v>1000000</v>
      </c>
      <c r="J177" s="54">
        <f t="shared" si="5"/>
        <v>54</v>
      </c>
      <c r="K177" t="str">
        <f t="shared" si="4"/>
        <v/>
      </c>
    </row>
    <row r="178" spans="1:11" x14ac:dyDescent="0.3">
      <c r="A178" s="11" t="s">
        <v>45</v>
      </c>
      <c r="B178" s="48" t="s">
        <v>229</v>
      </c>
      <c r="C178" s="8" t="s">
        <v>664</v>
      </c>
      <c r="D178" s="8" t="s">
        <v>663</v>
      </c>
      <c r="E178" s="8"/>
      <c r="F178" s="8"/>
      <c r="G178" s="8"/>
      <c r="H178" s="10">
        <v>6.4</v>
      </c>
      <c r="I178" s="54">
        <f>VLOOKUP(A178,İstasyonlar!$A$2:$D$776,4,0)</f>
        <v>1000000</v>
      </c>
      <c r="J178" s="54">
        <f t="shared" si="5"/>
        <v>54</v>
      </c>
      <c r="K178" t="str">
        <f t="shared" si="4"/>
        <v/>
      </c>
    </row>
    <row r="179" spans="1:11" x14ac:dyDescent="0.3">
      <c r="A179" s="11" t="s">
        <v>45</v>
      </c>
      <c r="B179" s="48" t="s">
        <v>230</v>
      </c>
      <c r="C179" s="8" t="s">
        <v>664</v>
      </c>
      <c r="D179" s="8" t="s">
        <v>663</v>
      </c>
      <c r="E179" s="8"/>
      <c r="F179" s="8"/>
      <c r="G179" s="8"/>
      <c r="H179" s="10">
        <v>4.2</v>
      </c>
      <c r="I179" s="54">
        <f>VLOOKUP(A179,İstasyonlar!$A$2:$D$776,4,0)</f>
        <v>1000000</v>
      </c>
      <c r="J179" s="54">
        <f t="shared" si="5"/>
        <v>54</v>
      </c>
      <c r="K179" t="str">
        <f t="shared" si="4"/>
        <v/>
      </c>
    </row>
    <row r="180" spans="1:11" x14ac:dyDescent="0.3">
      <c r="A180" s="11" t="s">
        <v>45</v>
      </c>
      <c r="B180" s="48" t="s">
        <v>231</v>
      </c>
      <c r="C180" s="8" t="s">
        <v>664</v>
      </c>
      <c r="D180" s="8" t="s">
        <v>663</v>
      </c>
      <c r="E180" s="8"/>
      <c r="F180" s="8"/>
      <c r="G180" s="8"/>
      <c r="H180" s="10">
        <v>1.5</v>
      </c>
      <c r="I180" s="54">
        <f>VLOOKUP(A180,İstasyonlar!$A$2:$D$776,4,0)</f>
        <v>1000000</v>
      </c>
      <c r="J180" s="54">
        <f t="shared" si="5"/>
        <v>54</v>
      </c>
      <c r="K180" t="str">
        <f t="shared" si="4"/>
        <v/>
      </c>
    </row>
    <row r="181" spans="1:11" x14ac:dyDescent="0.3">
      <c r="A181" s="11" t="s">
        <v>46</v>
      </c>
      <c r="B181" s="48" t="s">
        <v>232</v>
      </c>
      <c r="C181" s="8" t="s">
        <v>665</v>
      </c>
      <c r="D181" s="8"/>
      <c r="E181" s="8"/>
      <c r="F181" s="8"/>
      <c r="G181" s="8"/>
      <c r="H181" s="10">
        <v>0.5</v>
      </c>
      <c r="I181" s="54">
        <f>VLOOKUP(A181,İstasyonlar!$A$2:$D$776,4,0)</f>
        <v>1000000</v>
      </c>
      <c r="J181" s="54">
        <f t="shared" si="5"/>
        <v>55</v>
      </c>
      <c r="K181" t="str">
        <f t="shared" si="4"/>
        <v/>
      </c>
    </row>
    <row r="182" spans="1:11" x14ac:dyDescent="0.3">
      <c r="A182" s="11" t="s">
        <v>46</v>
      </c>
      <c r="B182" s="48" t="s">
        <v>233</v>
      </c>
      <c r="C182" s="8" t="s">
        <v>665</v>
      </c>
      <c r="D182" s="8"/>
      <c r="E182" s="8"/>
      <c r="F182" s="8"/>
      <c r="G182" s="8"/>
      <c r="H182" s="10">
        <v>3.1</v>
      </c>
      <c r="I182" s="54">
        <f>VLOOKUP(A182,İstasyonlar!$A$2:$D$776,4,0)</f>
        <v>1000000</v>
      </c>
      <c r="J182" s="54">
        <f t="shared" si="5"/>
        <v>55</v>
      </c>
      <c r="K182" t="str">
        <f t="shared" si="4"/>
        <v/>
      </c>
    </row>
    <row r="183" spans="1:11" x14ac:dyDescent="0.3">
      <c r="A183" s="11" t="s">
        <v>46</v>
      </c>
      <c r="B183" s="48" t="s">
        <v>234</v>
      </c>
      <c r="C183" s="8" t="s">
        <v>665</v>
      </c>
      <c r="D183" s="8"/>
      <c r="E183" s="8"/>
      <c r="F183" s="8"/>
      <c r="G183" s="8"/>
      <c r="H183" s="10">
        <v>4.2</v>
      </c>
      <c r="I183" s="54">
        <f>VLOOKUP(A183,İstasyonlar!$A$2:$D$776,4,0)</f>
        <v>1000000</v>
      </c>
      <c r="J183" s="54">
        <f t="shared" si="5"/>
        <v>55</v>
      </c>
      <c r="K183" t="str">
        <f t="shared" si="4"/>
        <v/>
      </c>
    </row>
    <row r="184" spans="1:11" x14ac:dyDescent="0.3">
      <c r="A184" s="11" t="s">
        <v>46</v>
      </c>
      <c r="B184" s="48" t="s">
        <v>235</v>
      </c>
      <c r="C184" s="8" t="s">
        <v>665</v>
      </c>
      <c r="D184" s="8"/>
      <c r="E184" s="8"/>
      <c r="F184" s="8"/>
      <c r="G184" s="8"/>
      <c r="H184" s="10">
        <v>2.1</v>
      </c>
      <c r="I184" s="54">
        <f>VLOOKUP(A184,İstasyonlar!$A$2:$D$776,4,0)</f>
        <v>1000000</v>
      </c>
      <c r="J184" s="54">
        <f t="shared" si="5"/>
        <v>55</v>
      </c>
      <c r="K184" t="str">
        <f t="shared" si="4"/>
        <v/>
      </c>
    </row>
    <row r="185" spans="1:11" x14ac:dyDescent="0.3">
      <c r="A185" s="11" t="s">
        <v>46</v>
      </c>
      <c r="B185" s="48" t="s">
        <v>236</v>
      </c>
      <c r="C185" s="8" t="s">
        <v>665</v>
      </c>
      <c r="D185" s="8"/>
      <c r="E185" s="8"/>
      <c r="F185" s="8"/>
      <c r="G185" s="8"/>
      <c r="H185" s="10">
        <v>0.5</v>
      </c>
      <c r="I185" s="54">
        <f>VLOOKUP(A185,İstasyonlar!$A$2:$D$776,4,0)</f>
        <v>1000000</v>
      </c>
      <c r="J185" s="54">
        <f t="shared" si="5"/>
        <v>55</v>
      </c>
      <c r="K185" t="str">
        <f t="shared" si="4"/>
        <v/>
      </c>
    </row>
    <row r="186" spans="1:11" x14ac:dyDescent="0.3">
      <c r="A186" s="11" t="s">
        <v>46</v>
      </c>
      <c r="B186" s="48" t="s">
        <v>237</v>
      </c>
      <c r="C186" s="8" t="s">
        <v>665</v>
      </c>
      <c r="D186" s="8"/>
      <c r="E186" s="8"/>
      <c r="F186" s="8"/>
      <c r="G186" s="8"/>
      <c r="H186" s="10">
        <v>0.5</v>
      </c>
      <c r="I186" s="54">
        <f>VLOOKUP(A186,İstasyonlar!$A$2:$D$776,4,0)</f>
        <v>1000000</v>
      </c>
      <c r="J186" s="54">
        <f t="shared" si="5"/>
        <v>55</v>
      </c>
      <c r="K186" t="str">
        <f t="shared" si="4"/>
        <v/>
      </c>
    </row>
    <row r="187" spans="1:11" x14ac:dyDescent="0.3">
      <c r="A187" s="11" t="s">
        <v>47</v>
      </c>
      <c r="B187" s="48" t="s">
        <v>238</v>
      </c>
      <c r="C187" s="8" t="s">
        <v>666</v>
      </c>
      <c r="D187" s="8" t="s">
        <v>634</v>
      </c>
      <c r="E187" s="8"/>
      <c r="F187" s="8"/>
      <c r="G187" s="8"/>
      <c r="H187" s="10">
        <v>1.5</v>
      </c>
      <c r="I187" s="54">
        <f>VLOOKUP(A187,İstasyonlar!$A$2:$D$776,4,0)</f>
        <v>999999999</v>
      </c>
      <c r="J187" s="54">
        <f t="shared" si="5"/>
        <v>56</v>
      </c>
      <c r="K187" t="str">
        <f t="shared" si="4"/>
        <v>Sabit</v>
      </c>
    </row>
    <row r="188" spans="1:11" x14ac:dyDescent="0.3">
      <c r="A188" s="11" t="s">
        <v>47</v>
      </c>
      <c r="B188" s="48" t="s">
        <v>239</v>
      </c>
      <c r="C188" s="8" t="s">
        <v>666</v>
      </c>
      <c r="D188" s="8" t="s">
        <v>634</v>
      </c>
      <c r="E188" s="8"/>
      <c r="F188" s="8"/>
      <c r="G188" s="8"/>
      <c r="H188" s="10">
        <v>4.3</v>
      </c>
      <c r="I188" s="54">
        <f>VLOOKUP(A188,İstasyonlar!$A$2:$D$776,4,0)</f>
        <v>999999999</v>
      </c>
      <c r="J188" s="54">
        <f t="shared" si="5"/>
        <v>56</v>
      </c>
      <c r="K188" t="str">
        <f t="shared" si="4"/>
        <v>Sabit</v>
      </c>
    </row>
    <row r="189" spans="1:11" x14ac:dyDescent="0.3">
      <c r="A189" s="11" t="s">
        <v>47</v>
      </c>
      <c r="B189" s="48" t="s">
        <v>240</v>
      </c>
      <c r="C189" s="8" t="s">
        <v>666</v>
      </c>
      <c r="D189" s="8" t="s">
        <v>634</v>
      </c>
      <c r="E189" s="8"/>
      <c r="F189" s="8"/>
      <c r="G189" s="8"/>
      <c r="H189" s="10">
        <v>4.5</v>
      </c>
      <c r="I189" s="54">
        <f>VLOOKUP(A189,İstasyonlar!$A$2:$D$776,4,0)</f>
        <v>999999999</v>
      </c>
      <c r="J189" s="54">
        <f t="shared" si="5"/>
        <v>56</v>
      </c>
      <c r="K189" t="str">
        <f t="shared" si="4"/>
        <v>Sabit</v>
      </c>
    </row>
    <row r="190" spans="1:11" x14ac:dyDescent="0.3">
      <c r="A190" s="11" t="s">
        <v>47</v>
      </c>
      <c r="B190" s="48" t="s">
        <v>241</v>
      </c>
      <c r="C190" s="8" t="s">
        <v>666</v>
      </c>
      <c r="D190" s="8" t="s">
        <v>634</v>
      </c>
      <c r="E190" s="8"/>
      <c r="F190" s="8"/>
      <c r="G190" s="8"/>
      <c r="H190" s="10">
        <v>2.8</v>
      </c>
      <c r="I190" s="54">
        <f>VLOOKUP(A190,İstasyonlar!$A$2:$D$776,4,0)</f>
        <v>999999999</v>
      </c>
      <c r="J190" s="54">
        <f t="shared" si="5"/>
        <v>56</v>
      </c>
      <c r="K190" t="str">
        <f t="shared" si="4"/>
        <v>Sabit</v>
      </c>
    </row>
    <row r="191" spans="1:11" x14ac:dyDescent="0.3">
      <c r="A191" s="11" t="s">
        <v>47</v>
      </c>
      <c r="B191" s="48" t="s">
        <v>242</v>
      </c>
      <c r="C191" s="8" t="s">
        <v>666</v>
      </c>
      <c r="D191" s="8" t="s">
        <v>634</v>
      </c>
      <c r="E191" s="8"/>
      <c r="F191" s="8"/>
      <c r="G191" s="8"/>
      <c r="H191" s="10">
        <v>6.4</v>
      </c>
      <c r="I191" s="54">
        <f>VLOOKUP(A191,İstasyonlar!$A$2:$D$776,4,0)</f>
        <v>999999999</v>
      </c>
      <c r="J191" s="54">
        <f t="shared" si="5"/>
        <v>56</v>
      </c>
      <c r="K191" t="str">
        <f t="shared" si="4"/>
        <v>Sabit</v>
      </c>
    </row>
    <row r="192" spans="1:11" x14ac:dyDescent="0.3">
      <c r="A192" s="9" t="s">
        <v>403</v>
      </c>
      <c r="B192" s="47" t="s">
        <v>732</v>
      </c>
      <c r="C192" s="8" t="s">
        <v>634</v>
      </c>
      <c r="D192" s="8" t="s">
        <v>668</v>
      </c>
      <c r="E192" s="8"/>
      <c r="F192" s="8"/>
      <c r="G192" s="8"/>
      <c r="H192" s="10">
        <v>5</v>
      </c>
      <c r="I192" s="54">
        <f>VLOOKUP(A192,İstasyonlar!$A$2:$D$776,4,0)</f>
        <v>999999999</v>
      </c>
      <c r="J192" s="54">
        <f t="shared" si="5"/>
        <v>57</v>
      </c>
      <c r="K192" t="str">
        <f t="shared" si="4"/>
        <v>Sabit</v>
      </c>
    </row>
    <row r="193" spans="1:11" x14ac:dyDescent="0.3">
      <c r="A193" s="9" t="s">
        <v>403</v>
      </c>
      <c r="B193" s="47" t="s">
        <v>733</v>
      </c>
      <c r="C193" s="8" t="s">
        <v>634</v>
      </c>
      <c r="D193" s="8" t="s">
        <v>668</v>
      </c>
      <c r="E193" s="8"/>
      <c r="F193" s="8"/>
      <c r="G193" s="8"/>
      <c r="H193" s="10">
        <v>0.8</v>
      </c>
      <c r="I193" s="54">
        <f>VLOOKUP(A193,İstasyonlar!$A$2:$D$776,4,0)</f>
        <v>999999999</v>
      </c>
      <c r="J193" s="54">
        <f t="shared" si="5"/>
        <v>57</v>
      </c>
      <c r="K193" t="str">
        <f t="shared" si="4"/>
        <v>Sabit</v>
      </c>
    </row>
    <row r="194" spans="1:11" x14ac:dyDescent="0.3">
      <c r="A194" s="9" t="s">
        <v>403</v>
      </c>
      <c r="B194" s="47" t="s">
        <v>734</v>
      </c>
      <c r="C194" s="8" t="s">
        <v>634</v>
      </c>
      <c r="D194" s="8" t="s">
        <v>668</v>
      </c>
      <c r="E194" s="8"/>
      <c r="F194" s="8"/>
      <c r="G194" s="8"/>
      <c r="H194" s="10">
        <v>1.5</v>
      </c>
      <c r="I194" s="54">
        <f>VLOOKUP(A194,İstasyonlar!$A$2:$D$776,4,0)</f>
        <v>999999999</v>
      </c>
      <c r="J194" s="54">
        <f t="shared" si="5"/>
        <v>57</v>
      </c>
      <c r="K194" t="str">
        <f t="shared" ref="K194:K262" si="6">IF(I194=1000000,"","Sabit")</f>
        <v>Sabit</v>
      </c>
    </row>
    <row r="195" spans="1:11" x14ac:dyDescent="0.3">
      <c r="A195" s="9" t="s">
        <v>403</v>
      </c>
      <c r="B195" s="47" t="s">
        <v>735</v>
      </c>
      <c r="C195" s="8" t="s">
        <v>634</v>
      </c>
      <c r="D195" s="8" t="s">
        <v>668</v>
      </c>
      <c r="E195" s="8"/>
      <c r="F195" s="8"/>
      <c r="G195" s="8"/>
      <c r="H195" s="10">
        <v>2.1</v>
      </c>
      <c r="I195" s="54">
        <f>VLOOKUP(A195,İstasyonlar!$A$2:$D$776,4,0)</f>
        <v>999999999</v>
      </c>
      <c r="J195" s="54">
        <f t="shared" ref="J195:J262" si="7">IF(A195=A194, J194, J194+1)</f>
        <v>57</v>
      </c>
      <c r="K195" t="str">
        <f t="shared" si="6"/>
        <v>Sabit</v>
      </c>
    </row>
    <row r="196" spans="1:11" x14ac:dyDescent="0.3">
      <c r="A196" s="9" t="s">
        <v>403</v>
      </c>
      <c r="B196" s="47" t="s">
        <v>736</v>
      </c>
      <c r="C196" s="8" t="s">
        <v>634</v>
      </c>
      <c r="D196" s="8" t="s">
        <v>668</v>
      </c>
      <c r="E196" s="8"/>
      <c r="F196" s="8"/>
      <c r="G196" s="8"/>
      <c r="H196" s="10">
        <v>1</v>
      </c>
      <c r="I196" s="54">
        <f>VLOOKUP(A196,İstasyonlar!$A$2:$D$776,4,0)</f>
        <v>999999999</v>
      </c>
      <c r="J196" s="54">
        <f t="shared" si="7"/>
        <v>57</v>
      </c>
      <c r="K196" t="str">
        <f t="shared" si="6"/>
        <v>Sabit</v>
      </c>
    </row>
    <row r="197" spans="1:11" x14ac:dyDescent="0.3">
      <c r="A197" s="9" t="s">
        <v>403</v>
      </c>
      <c r="B197" s="47" t="s">
        <v>737</v>
      </c>
      <c r="C197" s="8" t="s">
        <v>634</v>
      </c>
      <c r="D197" s="8" t="s">
        <v>668</v>
      </c>
      <c r="E197" s="8"/>
      <c r="F197" s="8"/>
      <c r="G197" s="8"/>
      <c r="H197" s="10">
        <v>2.1</v>
      </c>
      <c r="I197" s="54">
        <f>VLOOKUP(A197,İstasyonlar!$A$2:$D$776,4,0)</f>
        <v>999999999</v>
      </c>
      <c r="J197" s="54">
        <f t="shared" si="7"/>
        <v>57</v>
      </c>
      <c r="K197" t="str">
        <f t="shared" si="6"/>
        <v>Sabit</v>
      </c>
    </row>
    <row r="198" spans="1:11" x14ac:dyDescent="0.3">
      <c r="A198" s="11" t="s">
        <v>48</v>
      </c>
      <c r="B198" s="48" t="s">
        <v>304</v>
      </c>
      <c r="C198" s="8" t="s">
        <v>674</v>
      </c>
      <c r="D198" s="8" t="s">
        <v>666</v>
      </c>
      <c r="E198" s="8"/>
      <c r="F198" s="8"/>
      <c r="G198" s="8"/>
      <c r="H198" s="10">
        <v>2.6</v>
      </c>
      <c r="I198" s="54">
        <f>VLOOKUP(A198,İstasyonlar!$A$2:$D$776,4,0)</f>
        <v>1000000</v>
      </c>
      <c r="J198" s="54">
        <f t="shared" si="7"/>
        <v>58</v>
      </c>
      <c r="K198" t="str">
        <f t="shared" si="6"/>
        <v/>
      </c>
    </row>
    <row r="199" spans="1:11" x14ac:dyDescent="0.3">
      <c r="A199" s="11" t="s">
        <v>48</v>
      </c>
      <c r="B199" s="48" t="s">
        <v>305</v>
      </c>
      <c r="C199" s="8" t="s">
        <v>674</v>
      </c>
      <c r="D199" s="8" t="s">
        <v>666</v>
      </c>
      <c r="E199" s="8"/>
      <c r="F199" s="8"/>
      <c r="G199" s="8"/>
      <c r="H199" s="10">
        <v>2.6</v>
      </c>
      <c r="I199" s="54">
        <f>VLOOKUP(A199,İstasyonlar!$A$2:$D$776,4,0)</f>
        <v>1000000</v>
      </c>
      <c r="J199" s="54">
        <f t="shared" si="7"/>
        <v>58</v>
      </c>
      <c r="K199" t="str">
        <f t="shared" si="6"/>
        <v/>
      </c>
    </row>
    <row r="200" spans="1:11" x14ac:dyDescent="0.3">
      <c r="A200" s="11" t="s">
        <v>48</v>
      </c>
      <c r="B200" s="48" t="s">
        <v>306</v>
      </c>
      <c r="C200" s="8" t="s">
        <v>674</v>
      </c>
      <c r="D200" s="8" t="s">
        <v>666</v>
      </c>
      <c r="E200" s="8"/>
      <c r="F200" s="8"/>
      <c r="G200" s="8"/>
      <c r="H200" s="10">
        <v>3.8</v>
      </c>
      <c r="I200" s="54">
        <f>VLOOKUP(A200,İstasyonlar!$A$2:$D$776,4,0)</f>
        <v>1000000</v>
      </c>
      <c r="J200" s="54">
        <f t="shared" si="7"/>
        <v>58</v>
      </c>
      <c r="K200" t="str">
        <f t="shared" si="6"/>
        <v/>
      </c>
    </row>
    <row r="201" spans="1:11" x14ac:dyDescent="0.3">
      <c r="A201" s="11" t="s">
        <v>48</v>
      </c>
      <c r="B201" s="48" t="s">
        <v>307</v>
      </c>
      <c r="C201" s="8" t="s">
        <v>674</v>
      </c>
      <c r="D201" s="8" t="s">
        <v>666</v>
      </c>
      <c r="E201" s="8"/>
      <c r="F201" s="8"/>
      <c r="G201" s="8"/>
      <c r="H201" s="10">
        <v>4</v>
      </c>
      <c r="I201" s="54">
        <f>VLOOKUP(A201,İstasyonlar!$A$2:$D$776,4,0)</f>
        <v>1000000</v>
      </c>
      <c r="J201" s="54">
        <f t="shared" si="7"/>
        <v>58</v>
      </c>
      <c r="K201" t="str">
        <f t="shared" si="6"/>
        <v/>
      </c>
    </row>
    <row r="202" spans="1:11" x14ac:dyDescent="0.3">
      <c r="A202" s="11" t="s">
        <v>48</v>
      </c>
      <c r="B202" s="48" t="s">
        <v>308</v>
      </c>
      <c r="C202" s="8" t="s">
        <v>674</v>
      </c>
      <c r="D202" s="8" t="s">
        <v>666</v>
      </c>
      <c r="E202" s="8"/>
      <c r="F202" s="8"/>
      <c r="G202" s="8"/>
      <c r="H202" s="10">
        <v>4</v>
      </c>
      <c r="I202" s="54">
        <f>VLOOKUP(A202,İstasyonlar!$A$2:$D$776,4,0)</f>
        <v>1000000</v>
      </c>
      <c r="J202" s="54">
        <f t="shared" si="7"/>
        <v>58</v>
      </c>
      <c r="K202" t="str">
        <f t="shared" si="6"/>
        <v/>
      </c>
    </row>
    <row r="203" spans="1:11" x14ac:dyDescent="0.3">
      <c r="A203" s="11" t="s">
        <v>48</v>
      </c>
      <c r="B203" s="48" t="s">
        <v>309</v>
      </c>
      <c r="C203" s="8" t="s">
        <v>674</v>
      </c>
      <c r="D203" s="8" t="s">
        <v>666</v>
      </c>
      <c r="E203" s="8"/>
      <c r="F203" s="8"/>
      <c r="G203" s="8"/>
      <c r="H203" s="10">
        <v>4</v>
      </c>
      <c r="I203" s="54">
        <f>VLOOKUP(A203,İstasyonlar!$A$2:$D$776,4,0)</f>
        <v>1000000</v>
      </c>
      <c r="J203" s="54">
        <f t="shared" si="7"/>
        <v>58</v>
      </c>
      <c r="K203" t="str">
        <f t="shared" si="6"/>
        <v/>
      </c>
    </row>
    <row r="204" spans="1:11" x14ac:dyDescent="0.3">
      <c r="A204" s="11" t="s">
        <v>49</v>
      </c>
      <c r="B204" s="48" t="s">
        <v>409</v>
      </c>
      <c r="C204" s="8" t="s">
        <v>675</v>
      </c>
      <c r="D204" s="8" t="s">
        <v>629</v>
      </c>
      <c r="E204" s="8" t="s">
        <v>662</v>
      </c>
      <c r="F204" s="8"/>
      <c r="G204" s="8"/>
      <c r="H204" s="10">
        <v>3.1</v>
      </c>
      <c r="I204" s="54">
        <f>VLOOKUP(A204,İstasyonlar!$A$2:$D$776,4,0)</f>
        <v>1000000</v>
      </c>
      <c r="J204" s="54">
        <f t="shared" si="7"/>
        <v>59</v>
      </c>
      <c r="K204" t="str">
        <f t="shared" si="6"/>
        <v/>
      </c>
    </row>
    <row r="205" spans="1:11" x14ac:dyDescent="0.3">
      <c r="A205" s="11" t="s">
        <v>49</v>
      </c>
      <c r="B205" s="48" t="s">
        <v>244</v>
      </c>
      <c r="C205" s="8" t="s">
        <v>675</v>
      </c>
      <c r="D205" s="8" t="s">
        <v>629</v>
      </c>
      <c r="E205" s="8" t="s">
        <v>662</v>
      </c>
      <c r="F205" s="8"/>
      <c r="G205" s="8"/>
      <c r="H205" s="10">
        <v>2.9</v>
      </c>
      <c r="I205" s="54">
        <f>VLOOKUP(A205,İstasyonlar!$A$2:$D$776,4,0)</f>
        <v>1000000</v>
      </c>
      <c r="J205" s="54">
        <f t="shared" si="7"/>
        <v>59</v>
      </c>
      <c r="K205" t="str">
        <f t="shared" si="6"/>
        <v/>
      </c>
    </row>
    <row r="206" spans="1:11" x14ac:dyDescent="0.3">
      <c r="A206" s="11" t="s">
        <v>49</v>
      </c>
      <c r="B206" s="48" t="s">
        <v>245</v>
      </c>
      <c r="C206" s="8" t="s">
        <v>675</v>
      </c>
      <c r="D206" s="8" t="s">
        <v>629</v>
      </c>
      <c r="E206" s="8" t="s">
        <v>662</v>
      </c>
      <c r="F206" s="8"/>
      <c r="G206" s="8"/>
      <c r="H206" s="10">
        <v>6.1</v>
      </c>
      <c r="I206" s="54">
        <f>VLOOKUP(A206,İstasyonlar!$A$2:$D$776,4,0)</f>
        <v>1000000</v>
      </c>
      <c r="J206" s="54">
        <f t="shared" si="7"/>
        <v>59</v>
      </c>
      <c r="K206" t="str">
        <f t="shared" si="6"/>
        <v/>
      </c>
    </row>
    <row r="207" spans="1:11" x14ac:dyDescent="0.3">
      <c r="A207" s="11" t="s">
        <v>50</v>
      </c>
      <c r="B207" s="48" t="s">
        <v>249</v>
      </c>
      <c r="C207" s="8" t="s">
        <v>744</v>
      </c>
      <c r="D207" s="8" t="s">
        <v>675</v>
      </c>
      <c r="E207" s="8" t="s">
        <v>664</v>
      </c>
      <c r="F207" s="8"/>
      <c r="G207" s="8"/>
      <c r="H207" s="10">
        <v>6.1</v>
      </c>
      <c r="I207" s="54">
        <f>VLOOKUP(A207,İstasyonlar!$A$2:$D$776,4,0)</f>
        <v>1000000</v>
      </c>
      <c r="J207" s="54">
        <f t="shared" si="7"/>
        <v>60</v>
      </c>
      <c r="K207" t="str">
        <f t="shared" si="6"/>
        <v/>
      </c>
    </row>
    <row r="208" spans="1:11" x14ac:dyDescent="0.3">
      <c r="A208" s="11" t="s">
        <v>50</v>
      </c>
      <c r="B208" s="48" t="s">
        <v>410</v>
      </c>
      <c r="C208" s="8" t="s">
        <v>744</v>
      </c>
      <c r="D208" s="8" t="s">
        <v>675</v>
      </c>
      <c r="E208" s="8" t="s">
        <v>664</v>
      </c>
      <c r="F208" s="8"/>
      <c r="G208" s="8"/>
      <c r="H208" s="10">
        <v>3.1</v>
      </c>
      <c r="I208" s="54">
        <f>VLOOKUP(A208,İstasyonlar!$A$2:$D$776,4,0)</f>
        <v>1000000</v>
      </c>
      <c r="J208" s="54">
        <f t="shared" si="7"/>
        <v>60</v>
      </c>
      <c r="K208" t="str">
        <f t="shared" si="6"/>
        <v/>
      </c>
    </row>
    <row r="209" spans="1:11" x14ac:dyDescent="0.3">
      <c r="A209" s="11" t="s">
        <v>50</v>
      </c>
      <c r="B209" s="48" t="s">
        <v>411</v>
      </c>
      <c r="C209" s="8" t="s">
        <v>744</v>
      </c>
      <c r="D209" s="8" t="s">
        <v>675</v>
      </c>
      <c r="E209" s="8" t="s">
        <v>664</v>
      </c>
      <c r="F209" s="8"/>
      <c r="G209" s="8"/>
      <c r="H209" s="10">
        <v>3.6</v>
      </c>
      <c r="I209" s="54">
        <f>VLOOKUP(A209,İstasyonlar!$A$2:$D$776,4,0)</f>
        <v>1000000</v>
      </c>
      <c r="J209" s="54">
        <f t="shared" si="7"/>
        <v>60</v>
      </c>
      <c r="K209" t="str">
        <f t="shared" si="6"/>
        <v/>
      </c>
    </row>
    <row r="210" spans="1:11" x14ac:dyDescent="0.3">
      <c r="A210" s="11" t="s">
        <v>50</v>
      </c>
      <c r="B210" s="48" t="s">
        <v>250</v>
      </c>
      <c r="C210" s="8" t="s">
        <v>744</v>
      </c>
      <c r="D210" s="8" t="s">
        <v>675</v>
      </c>
      <c r="E210" s="8" t="s">
        <v>664</v>
      </c>
      <c r="F210" s="8"/>
      <c r="G210" s="8"/>
      <c r="H210" s="10">
        <v>1</v>
      </c>
      <c r="I210" s="54">
        <f>VLOOKUP(A210,İstasyonlar!$A$2:$D$776,4,0)</f>
        <v>1000000</v>
      </c>
      <c r="J210" s="54">
        <f t="shared" si="7"/>
        <v>60</v>
      </c>
      <c r="K210" t="str">
        <f t="shared" si="6"/>
        <v/>
      </c>
    </row>
    <row r="211" spans="1:11" x14ac:dyDescent="0.3">
      <c r="A211" s="11" t="s">
        <v>52</v>
      </c>
      <c r="B211" s="48" t="s">
        <v>254</v>
      </c>
      <c r="C211" s="8" t="s">
        <v>676</v>
      </c>
      <c r="D211" s="8"/>
      <c r="E211" s="8"/>
      <c r="F211" s="8"/>
      <c r="G211" s="8"/>
      <c r="H211" s="10">
        <v>5.5</v>
      </c>
      <c r="I211" s="54">
        <f>VLOOKUP(A211,İstasyonlar!$A$2:$D$776,4,0)</f>
        <v>999999999</v>
      </c>
      <c r="J211" s="54">
        <f t="shared" si="7"/>
        <v>61</v>
      </c>
      <c r="K211" t="str">
        <f t="shared" si="6"/>
        <v>Sabit</v>
      </c>
    </row>
    <row r="212" spans="1:11" x14ac:dyDescent="0.3">
      <c r="A212" s="11" t="s">
        <v>52</v>
      </c>
      <c r="B212" s="48" t="s">
        <v>255</v>
      </c>
      <c r="C212" s="8" t="s">
        <v>676</v>
      </c>
      <c r="D212" s="8"/>
      <c r="E212" s="8"/>
      <c r="F212" s="8"/>
      <c r="G212" s="8"/>
      <c r="H212" s="10">
        <v>1.8</v>
      </c>
      <c r="I212" s="54">
        <f>VLOOKUP(A212,İstasyonlar!$A$2:$D$776,4,0)</f>
        <v>999999999</v>
      </c>
      <c r="J212" s="54">
        <f t="shared" si="7"/>
        <v>61</v>
      </c>
      <c r="K212" t="str">
        <f t="shared" si="6"/>
        <v>Sabit</v>
      </c>
    </row>
    <row r="213" spans="1:11" x14ac:dyDescent="0.3">
      <c r="A213" s="11" t="s">
        <v>52</v>
      </c>
      <c r="B213" s="48" t="s">
        <v>256</v>
      </c>
      <c r="C213" s="8" t="s">
        <v>676</v>
      </c>
      <c r="D213" s="8"/>
      <c r="E213" s="8"/>
      <c r="F213" s="8"/>
      <c r="G213" s="8"/>
      <c r="H213" s="10">
        <v>2.5</v>
      </c>
      <c r="I213" s="54">
        <f>VLOOKUP(A213,İstasyonlar!$A$2:$D$776,4,0)</f>
        <v>999999999</v>
      </c>
      <c r="J213" s="54">
        <f t="shared" si="7"/>
        <v>61</v>
      </c>
      <c r="K213" t="str">
        <f t="shared" si="6"/>
        <v>Sabit</v>
      </c>
    </row>
    <row r="214" spans="1:11" x14ac:dyDescent="0.3">
      <c r="A214" s="11" t="s">
        <v>53</v>
      </c>
      <c r="B214" s="48" t="s">
        <v>257</v>
      </c>
      <c r="C214" s="8" t="s">
        <v>677</v>
      </c>
      <c r="D214" s="8"/>
      <c r="E214" s="8"/>
      <c r="F214" s="8"/>
      <c r="G214" s="8"/>
      <c r="H214" s="10">
        <v>0.5</v>
      </c>
      <c r="I214" s="54">
        <f>VLOOKUP(A214,İstasyonlar!$A$2:$D$776,4,0)</f>
        <v>999999999</v>
      </c>
      <c r="J214" s="54">
        <f t="shared" si="7"/>
        <v>62</v>
      </c>
      <c r="K214" t="str">
        <f t="shared" si="6"/>
        <v>Sabit</v>
      </c>
    </row>
    <row r="215" spans="1:11" x14ac:dyDescent="0.3">
      <c r="A215" s="11" t="s">
        <v>53</v>
      </c>
      <c r="B215" s="48" t="s">
        <v>258</v>
      </c>
      <c r="C215" s="8" t="s">
        <v>677</v>
      </c>
      <c r="D215" s="8"/>
      <c r="E215" s="8"/>
      <c r="F215" s="8"/>
      <c r="G215" s="8"/>
      <c r="H215" s="10">
        <v>2.8</v>
      </c>
      <c r="I215" s="54">
        <f>VLOOKUP(A215,İstasyonlar!$A$2:$D$776,4,0)</f>
        <v>999999999</v>
      </c>
      <c r="J215" s="54">
        <f t="shared" si="7"/>
        <v>62</v>
      </c>
      <c r="K215" t="str">
        <f t="shared" si="6"/>
        <v>Sabit</v>
      </c>
    </row>
    <row r="216" spans="1:11" x14ac:dyDescent="0.3">
      <c r="A216" s="11" t="s">
        <v>53</v>
      </c>
      <c r="B216" s="48" t="s">
        <v>259</v>
      </c>
      <c r="C216" s="8" t="s">
        <v>677</v>
      </c>
      <c r="D216" s="8"/>
      <c r="E216" s="8"/>
      <c r="F216" s="8"/>
      <c r="G216" s="8"/>
      <c r="H216" s="10">
        <v>3.8</v>
      </c>
      <c r="I216" s="54">
        <f>VLOOKUP(A216,İstasyonlar!$A$2:$D$776,4,0)</f>
        <v>999999999</v>
      </c>
      <c r="J216" s="54">
        <f t="shared" si="7"/>
        <v>62</v>
      </c>
      <c r="K216" t="str">
        <f t="shared" si="6"/>
        <v>Sabit</v>
      </c>
    </row>
    <row r="217" spans="1:11" x14ac:dyDescent="0.3">
      <c r="A217" s="11" t="s">
        <v>53</v>
      </c>
      <c r="B217" s="48" t="s">
        <v>260</v>
      </c>
      <c r="C217" s="8" t="s">
        <v>677</v>
      </c>
      <c r="D217" s="8"/>
      <c r="E217" s="8"/>
      <c r="F217" s="8"/>
      <c r="G217" s="8"/>
      <c r="H217" s="10">
        <v>3.9</v>
      </c>
      <c r="I217" s="54">
        <f>VLOOKUP(A217,İstasyonlar!$A$2:$D$776,4,0)</f>
        <v>999999999</v>
      </c>
      <c r="J217" s="54">
        <f t="shared" si="7"/>
        <v>62</v>
      </c>
      <c r="K217" t="str">
        <f t="shared" si="6"/>
        <v>Sabit</v>
      </c>
    </row>
    <row r="218" spans="1:11" x14ac:dyDescent="0.3">
      <c r="A218" s="11" t="s">
        <v>53</v>
      </c>
      <c r="B218" s="48" t="s">
        <v>261</v>
      </c>
      <c r="C218" s="8" t="s">
        <v>677</v>
      </c>
      <c r="D218" s="8"/>
      <c r="E218" s="8"/>
      <c r="F218" s="8"/>
      <c r="G218" s="8"/>
      <c r="H218" s="10">
        <v>0.5</v>
      </c>
      <c r="I218" s="54">
        <f>VLOOKUP(A218,İstasyonlar!$A$2:$D$776,4,0)</f>
        <v>999999999</v>
      </c>
      <c r="J218" s="54">
        <f t="shared" si="7"/>
        <v>62</v>
      </c>
      <c r="K218" t="str">
        <f t="shared" si="6"/>
        <v>Sabit</v>
      </c>
    </row>
    <row r="219" spans="1:11" x14ac:dyDescent="0.3">
      <c r="A219" s="11" t="s">
        <v>53</v>
      </c>
      <c r="B219" s="48" t="s">
        <v>262</v>
      </c>
      <c r="C219" s="8" t="s">
        <v>677</v>
      </c>
      <c r="D219" s="8"/>
      <c r="E219" s="8"/>
      <c r="F219" s="8"/>
      <c r="G219" s="8"/>
      <c r="H219" s="10">
        <v>3.1</v>
      </c>
      <c r="I219" s="54">
        <f>VLOOKUP(A219,İstasyonlar!$A$2:$D$776,4,0)</f>
        <v>999999999</v>
      </c>
      <c r="J219" s="54">
        <f t="shared" si="7"/>
        <v>62</v>
      </c>
      <c r="K219" t="str">
        <f t="shared" si="6"/>
        <v>Sabit</v>
      </c>
    </row>
    <row r="220" spans="1:11" x14ac:dyDescent="0.3">
      <c r="A220" s="11" t="s">
        <v>53</v>
      </c>
      <c r="B220" s="48" t="s">
        <v>263</v>
      </c>
      <c r="C220" s="8" t="s">
        <v>677</v>
      </c>
      <c r="D220" s="8"/>
      <c r="E220" s="8"/>
      <c r="F220" s="8"/>
      <c r="G220" s="8"/>
      <c r="H220" s="10">
        <v>3.1</v>
      </c>
      <c r="I220" s="54">
        <f>VLOOKUP(A220,İstasyonlar!$A$2:$D$776,4,0)</f>
        <v>999999999</v>
      </c>
      <c r="J220" s="54">
        <f t="shared" si="7"/>
        <v>62</v>
      </c>
      <c r="K220" t="str">
        <f t="shared" si="6"/>
        <v>Sabit</v>
      </c>
    </row>
    <row r="221" spans="1:11" x14ac:dyDescent="0.3">
      <c r="A221" s="11" t="s">
        <v>53</v>
      </c>
      <c r="B221" s="48" t="s">
        <v>264</v>
      </c>
      <c r="C221" s="8" t="s">
        <v>677</v>
      </c>
      <c r="D221" s="8"/>
      <c r="E221" s="8"/>
      <c r="F221" s="8"/>
      <c r="G221" s="8"/>
      <c r="H221" s="10">
        <v>0.5</v>
      </c>
      <c r="I221" s="54">
        <f>VLOOKUP(A221,İstasyonlar!$A$2:$D$776,4,0)</f>
        <v>999999999</v>
      </c>
      <c r="J221" s="54">
        <f t="shared" si="7"/>
        <v>62</v>
      </c>
      <c r="K221" t="str">
        <f t="shared" si="6"/>
        <v>Sabit</v>
      </c>
    </row>
    <row r="222" spans="1:11" x14ac:dyDescent="0.3">
      <c r="A222" s="11" t="s">
        <v>54</v>
      </c>
      <c r="B222" s="48" t="s">
        <v>265</v>
      </c>
      <c r="C222" s="8" t="s">
        <v>668</v>
      </c>
      <c r="D222" s="8" t="s">
        <v>677</v>
      </c>
      <c r="E222" s="8"/>
      <c r="F222" s="8"/>
      <c r="G222" s="8"/>
      <c r="H222" s="10">
        <v>2.5</v>
      </c>
      <c r="I222" s="54">
        <f>VLOOKUP(A222,İstasyonlar!$A$2:$D$776,4,0)</f>
        <v>999999999</v>
      </c>
      <c r="J222" s="54">
        <f t="shared" si="7"/>
        <v>63</v>
      </c>
      <c r="K222" t="str">
        <f t="shared" si="6"/>
        <v>Sabit</v>
      </c>
    </row>
    <row r="223" spans="1:11" x14ac:dyDescent="0.3">
      <c r="A223" s="11" t="s">
        <v>54</v>
      </c>
      <c r="B223" s="48" t="s">
        <v>266</v>
      </c>
      <c r="C223" s="8" t="s">
        <v>668</v>
      </c>
      <c r="D223" s="8" t="s">
        <v>677</v>
      </c>
      <c r="E223" s="8"/>
      <c r="F223" s="8"/>
      <c r="G223" s="8"/>
      <c r="H223" s="10">
        <v>1.5</v>
      </c>
      <c r="I223" s="54">
        <f>VLOOKUP(A223,İstasyonlar!$A$2:$D$776,4,0)</f>
        <v>999999999</v>
      </c>
      <c r="J223" s="54">
        <f t="shared" si="7"/>
        <v>63</v>
      </c>
      <c r="K223" t="str">
        <f t="shared" si="6"/>
        <v>Sabit</v>
      </c>
    </row>
    <row r="224" spans="1:11" x14ac:dyDescent="0.3">
      <c r="A224" s="11" t="s">
        <v>54</v>
      </c>
      <c r="B224" s="48" t="s">
        <v>418</v>
      </c>
      <c r="C224" s="8" t="s">
        <v>668</v>
      </c>
      <c r="D224" s="8" t="s">
        <v>677</v>
      </c>
      <c r="E224" s="8"/>
      <c r="F224" s="8"/>
      <c r="G224" s="8"/>
      <c r="H224" s="10">
        <v>2.5</v>
      </c>
      <c r="I224" s="54">
        <f>VLOOKUP(A224,İstasyonlar!$A$2:$D$776,4,0)</f>
        <v>999999999</v>
      </c>
      <c r="J224" s="54">
        <f t="shared" si="7"/>
        <v>63</v>
      </c>
      <c r="K224" t="str">
        <f t="shared" si="6"/>
        <v>Sabit</v>
      </c>
    </row>
    <row r="225" spans="1:11" x14ac:dyDescent="0.3">
      <c r="A225" s="11" t="s">
        <v>54</v>
      </c>
      <c r="B225" s="48" t="s">
        <v>268</v>
      </c>
      <c r="C225" s="8" t="s">
        <v>668</v>
      </c>
      <c r="D225" s="8" t="s">
        <v>677</v>
      </c>
      <c r="E225" s="8"/>
      <c r="F225" s="8"/>
      <c r="G225" s="8"/>
      <c r="H225" s="10">
        <v>1</v>
      </c>
      <c r="I225" s="54">
        <f>VLOOKUP(A225,İstasyonlar!$A$2:$D$776,4,0)</f>
        <v>999999999</v>
      </c>
      <c r="J225" s="54">
        <f t="shared" si="7"/>
        <v>63</v>
      </c>
      <c r="K225" t="str">
        <f t="shared" si="6"/>
        <v>Sabit</v>
      </c>
    </row>
    <row r="226" spans="1:11" x14ac:dyDescent="0.3">
      <c r="A226" s="11" t="s">
        <v>55</v>
      </c>
      <c r="B226" s="48" t="s">
        <v>269</v>
      </c>
      <c r="C226" s="8" t="s">
        <v>678</v>
      </c>
      <c r="D226" s="8" t="s">
        <v>633</v>
      </c>
      <c r="E226" s="8"/>
      <c r="F226" s="8"/>
      <c r="G226" s="8"/>
      <c r="H226" s="10">
        <v>0.5</v>
      </c>
      <c r="I226" s="54">
        <f>VLOOKUP(A226,İstasyonlar!$A$2:$D$776,4,0)</f>
        <v>999999999</v>
      </c>
      <c r="J226" s="54">
        <f t="shared" si="7"/>
        <v>64</v>
      </c>
      <c r="K226" t="str">
        <f t="shared" si="6"/>
        <v>Sabit</v>
      </c>
    </row>
    <row r="227" spans="1:11" x14ac:dyDescent="0.3">
      <c r="A227" s="11" t="s">
        <v>55</v>
      </c>
      <c r="B227" s="48" t="s">
        <v>270</v>
      </c>
      <c r="C227" s="8" t="s">
        <v>678</v>
      </c>
      <c r="D227" s="8" t="s">
        <v>633</v>
      </c>
      <c r="E227" s="8"/>
      <c r="F227" s="8"/>
      <c r="G227" s="8"/>
      <c r="H227" s="10">
        <v>2.1</v>
      </c>
      <c r="I227" s="54">
        <f>VLOOKUP(A227,İstasyonlar!$A$2:$D$776,4,0)</f>
        <v>999999999</v>
      </c>
      <c r="J227" s="54">
        <f t="shared" si="7"/>
        <v>64</v>
      </c>
      <c r="K227" t="str">
        <f t="shared" si="6"/>
        <v>Sabit</v>
      </c>
    </row>
    <row r="228" spans="1:11" x14ac:dyDescent="0.3">
      <c r="A228" s="11" t="s">
        <v>55</v>
      </c>
      <c r="B228" s="48" t="s">
        <v>271</v>
      </c>
      <c r="C228" s="8" t="s">
        <v>678</v>
      </c>
      <c r="D228" s="8" t="s">
        <v>633</v>
      </c>
      <c r="E228" s="8"/>
      <c r="F228" s="8"/>
      <c r="G228" s="8"/>
      <c r="H228" s="10">
        <v>5.5</v>
      </c>
      <c r="I228" s="54">
        <f>VLOOKUP(A228,İstasyonlar!$A$2:$D$776,4,0)</f>
        <v>999999999</v>
      </c>
      <c r="J228" s="54">
        <f t="shared" si="7"/>
        <v>64</v>
      </c>
      <c r="K228" t="str">
        <f t="shared" si="6"/>
        <v>Sabit</v>
      </c>
    </row>
    <row r="229" spans="1:11" x14ac:dyDescent="0.3">
      <c r="A229" s="11" t="s">
        <v>55</v>
      </c>
      <c r="B229" s="48" t="s">
        <v>272</v>
      </c>
      <c r="C229" s="8" t="s">
        <v>678</v>
      </c>
      <c r="D229" s="8" t="s">
        <v>633</v>
      </c>
      <c r="E229" s="8"/>
      <c r="F229" s="8"/>
      <c r="G229" s="8"/>
      <c r="H229" s="10">
        <v>4</v>
      </c>
      <c r="I229" s="54">
        <f>VLOOKUP(A229,İstasyonlar!$A$2:$D$776,4,0)</f>
        <v>999999999</v>
      </c>
      <c r="J229" s="54">
        <f t="shared" si="7"/>
        <v>64</v>
      </c>
      <c r="K229" t="str">
        <f t="shared" si="6"/>
        <v>Sabit</v>
      </c>
    </row>
    <row r="230" spans="1:11" x14ac:dyDescent="0.3">
      <c r="A230" s="11" t="s">
        <v>55</v>
      </c>
      <c r="B230" s="48" t="s">
        <v>420</v>
      </c>
      <c r="C230" s="8" t="s">
        <v>678</v>
      </c>
      <c r="D230" s="8" t="s">
        <v>633</v>
      </c>
      <c r="E230" s="8"/>
      <c r="F230" s="8"/>
      <c r="G230" s="8"/>
      <c r="H230" s="10">
        <v>3.1</v>
      </c>
      <c r="I230" s="54">
        <f>VLOOKUP(A230,İstasyonlar!$A$2:$D$776,4,0)</f>
        <v>999999999</v>
      </c>
      <c r="J230" s="54">
        <f t="shared" si="7"/>
        <v>64</v>
      </c>
      <c r="K230" t="str">
        <f t="shared" si="6"/>
        <v>Sabit</v>
      </c>
    </row>
    <row r="231" spans="1:11" x14ac:dyDescent="0.3">
      <c r="A231" s="11" t="s">
        <v>55</v>
      </c>
      <c r="B231" s="48" t="s">
        <v>273</v>
      </c>
      <c r="C231" s="8" t="s">
        <v>678</v>
      </c>
      <c r="D231" s="8" t="s">
        <v>633</v>
      </c>
      <c r="E231" s="8"/>
      <c r="F231" s="8"/>
      <c r="G231" s="8"/>
      <c r="H231" s="10">
        <v>3</v>
      </c>
      <c r="I231" s="54">
        <f>VLOOKUP(A231,İstasyonlar!$A$2:$D$776,4,0)</f>
        <v>999999999</v>
      </c>
      <c r="J231" s="54">
        <f t="shared" si="7"/>
        <v>64</v>
      </c>
      <c r="K231" t="str">
        <f t="shared" si="6"/>
        <v>Sabit</v>
      </c>
    </row>
    <row r="232" spans="1:11" x14ac:dyDescent="0.3">
      <c r="A232" s="11" t="s">
        <v>55</v>
      </c>
      <c r="B232" s="48" t="s">
        <v>275</v>
      </c>
      <c r="C232" s="8" t="s">
        <v>678</v>
      </c>
      <c r="D232" s="8" t="s">
        <v>633</v>
      </c>
      <c r="E232" s="8"/>
      <c r="F232" s="8"/>
      <c r="G232" s="8"/>
      <c r="H232" s="10">
        <v>0.5</v>
      </c>
      <c r="I232" s="54">
        <f>VLOOKUP(A232,İstasyonlar!$A$2:$D$776,4,0)</f>
        <v>999999999</v>
      </c>
      <c r="J232" s="54">
        <f t="shared" si="7"/>
        <v>64</v>
      </c>
      <c r="K232" t="str">
        <f t="shared" si="6"/>
        <v>Sabit</v>
      </c>
    </row>
    <row r="233" spans="1:11" x14ac:dyDescent="0.3">
      <c r="A233" s="11" t="s">
        <v>55</v>
      </c>
      <c r="B233" s="48" t="s">
        <v>276</v>
      </c>
      <c r="C233" s="8" t="s">
        <v>678</v>
      </c>
      <c r="D233" s="8" t="s">
        <v>633</v>
      </c>
      <c r="E233" s="8"/>
      <c r="F233" s="8"/>
      <c r="G233" s="8"/>
      <c r="H233" s="10">
        <v>0.5</v>
      </c>
      <c r="I233" s="54">
        <f>VLOOKUP(A233,İstasyonlar!$A$2:$D$776,4,0)</f>
        <v>999999999</v>
      </c>
      <c r="J233" s="54">
        <f t="shared" si="7"/>
        <v>64</v>
      </c>
      <c r="K233" t="str">
        <f t="shared" si="6"/>
        <v>Sabit</v>
      </c>
    </row>
    <row r="234" spans="1:11" x14ac:dyDescent="0.3">
      <c r="A234" s="11" t="s">
        <v>56</v>
      </c>
      <c r="B234" s="48" t="s">
        <v>277</v>
      </c>
      <c r="C234" s="8" t="s">
        <v>679</v>
      </c>
      <c r="D234" s="8"/>
      <c r="E234" s="8"/>
      <c r="F234" s="8"/>
      <c r="G234" s="8"/>
      <c r="H234" s="10">
        <v>6.5</v>
      </c>
      <c r="I234" s="54">
        <f>VLOOKUP(A234,İstasyonlar!$A$2:$D$776,4,0)</f>
        <v>999999999</v>
      </c>
      <c r="J234" s="54">
        <f t="shared" si="7"/>
        <v>65</v>
      </c>
      <c r="K234" t="str">
        <f t="shared" si="6"/>
        <v>Sabit</v>
      </c>
    </row>
    <row r="235" spans="1:11" x14ac:dyDescent="0.3">
      <c r="A235" s="11" t="s">
        <v>56</v>
      </c>
      <c r="B235" s="48" t="s">
        <v>278</v>
      </c>
      <c r="C235" s="8" t="s">
        <v>679</v>
      </c>
      <c r="D235" s="8"/>
      <c r="E235" s="8"/>
      <c r="F235" s="8"/>
      <c r="G235" s="8"/>
      <c r="H235" s="10">
        <v>6.1</v>
      </c>
      <c r="I235" s="54">
        <f>VLOOKUP(A235,İstasyonlar!$A$2:$D$776,4,0)</f>
        <v>999999999</v>
      </c>
      <c r="J235" s="54">
        <f t="shared" si="7"/>
        <v>65</v>
      </c>
      <c r="K235" t="str">
        <f t="shared" si="6"/>
        <v>Sabit</v>
      </c>
    </row>
    <row r="236" spans="1:11" x14ac:dyDescent="0.3">
      <c r="A236" s="11" t="s">
        <v>56</v>
      </c>
      <c r="B236" s="48" t="s">
        <v>279</v>
      </c>
      <c r="C236" s="8" t="s">
        <v>679</v>
      </c>
      <c r="D236" s="8"/>
      <c r="E236" s="8"/>
      <c r="F236" s="8"/>
      <c r="G236" s="8"/>
      <c r="H236" s="10">
        <v>2.5</v>
      </c>
      <c r="I236" s="54">
        <f>VLOOKUP(A236,İstasyonlar!$A$2:$D$776,4,0)</f>
        <v>999999999</v>
      </c>
      <c r="J236" s="54">
        <f t="shared" si="7"/>
        <v>65</v>
      </c>
      <c r="K236" t="str">
        <f t="shared" si="6"/>
        <v>Sabit</v>
      </c>
    </row>
    <row r="237" spans="1:11" x14ac:dyDescent="0.3">
      <c r="A237" s="9" t="s">
        <v>383</v>
      </c>
      <c r="B237" s="47" t="s">
        <v>478</v>
      </c>
      <c r="C237" s="8" t="s">
        <v>646</v>
      </c>
      <c r="D237" s="8" t="s">
        <v>647</v>
      </c>
      <c r="E237" s="8"/>
      <c r="F237" s="8"/>
      <c r="G237" s="8"/>
      <c r="H237" s="10">
        <v>3.9</v>
      </c>
      <c r="I237" s="54">
        <f>VLOOKUP(A237,İstasyonlar!$A$2:$D$776,4,0)</f>
        <v>999999999</v>
      </c>
      <c r="J237" s="54">
        <f t="shared" si="7"/>
        <v>66</v>
      </c>
      <c r="K237" t="str">
        <f t="shared" si="6"/>
        <v>Sabit</v>
      </c>
    </row>
    <row r="238" spans="1:11" x14ac:dyDescent="0.3">
      <c r="A238" s="9" t="s">
        <v>383</v>
      </c>
      <c r="B238" s="47" t="s">
        <v>479</v>
      </c>
      <c r="C238" s="8" t="s">
        <v>646</v>
      </c>
      <c r="D238" s="8" t="s">
        <v>647</v>
      </c>
      <c r="E238" s="8"/>
      <c r="F238" s="8"/>
      <c r="G238" s="8"/>
      <c r="H238" s="10">
        <v>1.2</v>
      </c>
      <c r="I238" s="54">
        <f>VLOOKUP(A238,İstasyonlar!$A$2:$D$776,4,0)</f>
        <v>999999999</v>
      </c>
      <c r="J238" s="54">
        <f t="shared" si="7"/>
        <v>66</v>
      </c>
      <c r="K238" t="str">
        <f t="shared" si="6"/>
        <v>Sabit</v>
      </c>
    </row>
    <row r="239" spans="1:11" x14ac:dyDescent="0.3">
      <c r="A239" s="9" t="s">
        <v>383</v>
      </c>
      <c r="B239" s="47" t="s">
        <v>480</v>
      </c>
      <c r="C239" s="8" t="s">
        <v>646</v>
      </c>
      <c r="D239" s="8" t="s">
        <v>647</v>
      </c>
      <c r="E239" s="8"/>
      <c r="F239" s="8"/>
      <c r="G239" s="8"/>
      <c r="H239" s="10">
        <v>4.9000000000000004</v>
      </c>
      <c r="I239" s="54">
        <f>VLOOKUP(A239,İstasyonlar!$A$2:$D$776,4,0)</f>
        <v>999999999</v>
      </c>
      <c r="J239" s="54">
        <f t="shared" si="7"/>
        <v>66</v>
      </c>
      <c r="K239" t="str">
        <f t="shared" si="6"/>
        <v>Sabit</v>
      </c>
    </row>
    <row r="240" spans="1:11" x14ac:dyDescent="0.3">
      <c r="A240" s="9" t="s">
        <v>383</v>
      </c>
      <c r="B240" s="47" t="s">
        <v>481</v>
      </c>
      <c r="C240" s="8" t="s">
        <v>646</v>
      </c>
      <c r="D240" s="8" t="s">
        <v>647</v>
      </c>
      <c r="E240" s="8"/>
      <c r="F240" s="8"/>
      <c r="G240" s="8"/>
      <c r="H240" s="10">
        <v>2.8</v>
      </c>
      <c r="I240" s="54">
        <f>VLOOKUP(A240,İstasyonlar!$A$2:$D$776,4,0)</f>
        <v>999999999</v>
      </c>
      <c r="J240" s="54">
        <f t="shared" si="7"/>
        <v>66</v>
      </c>
      <c r="K240" t="str">
        <f t="shared" si="6"/>
        <v>Sabit</v>
      </c>
    </row>
    <row r="241" spans="1:11" x14ac:dyDescent="0.3">
      <c r="A241" s="9" t="s">
        <v>383</v>
      </c>
      <c r="B241" s="47" t="s">
        <v>483</v>
      </c>
      <c r="C241" s="8" t="s">
        <v>646</v>
      </c>
      <c r="D241" s="8" t="s">
        <v>647</v>
      </c>
      <c r="E241" s="8"/>
      <c r="F241" s="8"/>
      <c r="G241" s="8"/>
      <c r="H241" s="10">
        <v>1</v>
      </c>
      <c r="I241" s="54">
        <f>VLOOKUP(A241,İstasyonlar!$A$2:$D$776,4,0)</f>
        <v>999999999</v>
      </c>
      <c r="J241" s="54">
        <f t="shared" si="7"/>
        <v>66</v>
      </c>
      <c r="K241" t="str">
        <f t="shared" si="6"/>
        <v>Sabit</v>
      </c>
    </row>
    <row r="242" spans="1:11" ht="15.6" x14ac:dyDescent="0.3">
      <c r="A242" s="9" t="s">
        <v>432</v>
      </c>
      <c r="B242" s="47" t="s">
        <v>499</v>
      </c>
      <c r="C242" s="8" t="s">
        <v>688</v>
      </c>
      <c r="D242" s="8" t="s">
        <v>615</v>
      </c>
      <c r="E242" s="8" t="s">
        <v>689</v>
      </c>
      <c r="F242" s="8"/>
      <c r="G242" s="8"/>
      <c r="H242" s="12">
        <v>5.4</v>
      </c>
      <c r="I242" s="54">
        <f>VLOOKUP(A242,İstasyonlar!$A$2:$D$776,4,0)</f>
        <v>999999999</v>
      </c>
      <c r="J242" s="54">
        <f t="shared" si="7"/>
        <v>67</v>
      </c>
      <c r="K242" t="str">
        <f t="shared" si="6"/>
        <v>Sabit</v>
      </c>
    </row>
    <row r="243" spans="1:11" ht="15.6" x14ac:dyDescent="0.3">
      <c r="A243" s="9" t="s">
        <v>432</v>
      </c>
      <c r="B243" s="47" t="s">
        <v>500</v>
      </c>
      <c r="C243" s="8" t="s">
        <v>688</v>
      </c>
      <c r="D243" s="8" t="s">
        <v>615</v>
      </c>
      <c r="E243" s="8" t="s">
        <v>689</v>
      </c>
      <c r="F243" s="8"/>
      <c r="G243" s="8"/>
      <c r="H243" s="12">
        <v>2</v>
      </c>
      <c r="I243" s="54">
        <f>VLOOKUP(A243,İstasyonlar!$A$2:$D$776,4,0)</f>
        <v>999999999</v>
      </c>
      <c r="J243" s="54">
        <f t="shared" si="7"/>
        <v>67</v>
      </c>
      <c r="K243" t="str">
        <f t="shared" si="6"/>
        <v>Sabit</v>
      </c>
    </row>
    <row r="244" spans="1:11" ht="15.6" x14ac:dyDescent="0.3">
      <c r="A244" s="9" t="s">
        <v>432</v>
      </c>
      <c r="B244" s="47" t="s">
        <v>501</v>
      </c>
      <c r="C244" s="8" t="s">
        <v>688</v>
      </c>
      <c r="D244" s="8" t="s">
        <v>615</v>
      </c>
      <c r="E244" s="8" t="s">
        <v>689</v>
      </c>
      <c r="F244" s="8"/>
      <c r="G244" s="8"/>
      <c r="H244" s="12">
        <v>9.5</v>
      </c>
      <c r="I244" s="54">
        <f>VLOOKUP(A244,İstasyonlar!$A$2:$D$776,4,0)</f>
        <v>999999999</v>
      </c>
      <c r="J244" s="54">
        <f t="shared" si="7"/>
        <v>67</v>
      </c>
      <c r="K244" t="str">
        <f t="shared" si="6"/>
        <v>Sabit</v>
      </c>
    </row>
    <row r="245" spans="1:11" ht="15.6" x14ac:dyDescent="0.3">
      <c r="A245" s="9" t="s">
        <v>435</v>
      </c>
      <c r="B245" s="47" t="s">
        <v>512</v>
      </c>
      <c r="C245" s="8" t="s">
        <v>693</v>
      </c>
      <c r="D245" s="8" t="s">
        <v>694</v>
      </c>
      <c r="E245" s="8"/>
      <c r="F245" s="8" t="s">
        <v>615</v>
      </c>
      <c r="G245" s="8" t="s">
        <v>614</v>
      </c>
      <c r="H245" s="12">
        <v>2.5</v>
      </c>
      <c r="I245" s="54">
        <f>VLOOKUP(A245,İstasyonlar!$A$2:$D$776,4,0)</f>
        <v>999999999</v>
      </c>
      <c r="J245" s="54">
        <f t="shared" si="7"/>
        <v>68</v>
      </c>
      <c r="K245" t="str">
        <f t="shared" si="6"/>
        <v>Sabit</v>
      </c>
    </row>
    <row r="246" spans="1:11" ht="15.6" x14ac:dyDescent="0.3">
      <c r="A246" s="9" t="s">
        <v>435</v>
      </c>
      <c r="B246" s="47" t="s">
        <v>513</v>
      </c>
      <c r="C246" s="8" t="s">
        <v>693</v>
      </c>
      <c r="D246" s="8" t="s">
        <v>694</v>
      </c>
      <c r="E246" s="8"/>
      <c r="F246" s="8" t="s">
        <v>615</v>
      </c>
      <c r="G246" s="8" t="s">
        <v>614</v>
      </c>
      <c r="H246" s="12">
        <v>3.2</v>
      </c>
      <c r="I246" s="54">
        <f>VLOOKUP(A246,İstasyonlar!$A$2:$D$776,4,0)</f>
        <v>999999999</v>
      </c>
      <c r="J246" s="54">
        <f t="shared" si="7"/>
        <v>68</v>
      </c>
      <c r="K246" t="str">
        <f t="shared" si="6"/>
        <v>Sabit</v>
      </c>
    </row>
    <row r="247" spans="1:11" ht="15.6" x14ac:dyDescent="0.3">
      <c r="A247" s="9" t="s">
        <v>435</v>
      </c>
      <c r="B247" s="47" t="s">
        <v>514</v>
      </c>
      <c r="C247" s="8" t="s">
        <v>693</v>
      </c>
      <c r="D247" s="8" t="s">
        <v>694</v>
      </c>
      <c r="E247" s="8"/>
      <c r="F247" s="8" t="s">
        <v>615</v>
      </c>
      <c r="G247" s="8" t="s">
        <v>614</v>
      </c>
      <c r="H247" s="12">
        <v>3.2</v>
      </c>
      <c r="I247" s="54">
        <f>VLOOKUP(A247,İstasyonlar!$A$2:$D$776,4,0)</f>
        <v>999999999</v>
      </c>
      <c r="J247" s="54">
        <f t="shared" si="7"/>
        <v>68</v>
      </c>
      <c r="K247" t="str">
        <f t="shared" si="6"/>
        <v>Sabit</v>
      </c>
    </row>
    <row r="248" spans="1:11" ht="15.6" x14ac:dyDescent="0.3">
      <c r="A248" s="9" t="s">
        <v>435</v>
      </c>
      <c r="B248" s="47" t="s">
        <v>515</v>
      </c>
      <c r="C248" s="8" t="s">
        <v>693</v>
      </c>
      <c r="D248" s="8" t="s">
        <v>694</v>
      </c>
      <c r="E248" s="8"/>
      <c r="F248" s="8" t="s">
        <v>615</v>
      </c>
      <c r="G248" s="8" t="s">
        <v>614</v>
      </c>
      <c r="H248" s="12">
        <v>3.2</v>
      </c>
      <c r="I248" s="54">
        <f>VLOOKUP(A248,İstasyonlar!$A$2:$D$776,4,0)</f>
        <v>999999999</v>
      </c>
      <c r="J248" s="54">
        <f t="shared" si="7"/>
        <v>68</v>
      </c>
      <c r="K248" t="str">
        <f t="shared" si="6"/>
        <v>Sabit</v>
      </c>
    </row>
    <row r="249" spans="1:11" ht="15.6" x14ac:dyDescent="0.3">
      <c r="A249" s="9" t="s">
        <v>435</v>
      </c>
      <c r="B249" s="47" t="s">
        <v>516</v>
      </c>
      <c r="C249" s="8" t="s">
        <v>693</v>
      </c>
      <c r="D249" s="8" t="s">
        <v>694</v>
      </c>
      <c r="E249" s="8"/>
      <c r="F249" s="8" t="s">
        <v>615</v>
      </c>
      <c r="G249" s="8" t="s">
        <v>614</v>
      </c>
      <c r="H249" s="12">
        <v>3.2</v>
      </c>
      <c r="I249" s="54">
        <f>VLOOKUP(A249,İstasyonlar!$A$2:$D$776,4,0)</f>
        <v>999999999</v>
      </c>
      <c r="J249" s="54">
        <f t="shared" si="7"/>
        <v>68</v>
      </c>
      <c r="K249" t="str">
        <f t="shared" si="6"/>
        <v>Sabit</v>
      </c>
    </row>
    <row r="250" spans="1:11" ht="15.6" x14ac:dyDescent="0.3">
      <c r="A250" s="9" t="s">
        <v>435</v>
      </c>
      <c r="B250" s="47" t="s">
        <v>517</v>
      </c>
      <c r="C250" s="8" t="s">
        <v>693</v>
      </c>
      <c r="D250" s="8" t="s">
        <v>694</v>
      </c>
      <c r="E250" s="8"/>
      <c r="F250" s="8" t="s">
        <v>615</v>
      </c>
      <c r="G250" s="8" t="s">
        <v>614</v>
      </c>
      <c r="H250" s="12">
        <v>3.8</v>
      </c>
      <c r="I250" s="54">
        <f>VLOOKUP(A250,İstasyonlar!$A$2:$D$776,4,0)</f>
        <v>999999999</v>
      </c>
      <c r="J250" s="54">
        <f t="shared" si="7"/>
        <v>68</v>
      </c>
      <c r="K250" t="str">
        <f t="shared" si="6"/>
        <v>Sabit</v>
      </c>
    </row>
    <row r="251" spans="1:11" ht="15.6" x14ac:dyDescent="0.3">
      <c r="A251" s="9" t="s">
        <v>560</v>
      </c>
      <c r="B251" s="47" t="s">
        <v>561</v>
      </c>
      <c r="C251" s="8" t="s">
        <v>702</v>
      </c>
      <c r="D251" s="8" t="s">
        <v>703</v>
      </c>
      <c r="E251" s="8"/>
      <c r="F251" s="8"/>
      <c r="G251" s="8"/>
      <c r="H251" s="12">
        <v>5.4</v>
      </c>
      <c r="I251" s="54">
        <f>VLOOKUP(A251,İstasyonlar!$A$2:$D$776,4,0)</f>
        <v>999999999</v>
      </c>
      <c r="J251" s="54">
        <f t="shared" si="7"/>
        <v>69</v>
      </c>
      <c r="K251" t="str">
        <f t="shared" si="6"/>
        <v>Sabit</v>
      </c>
    </row>
    <row r="252" spans="1:11" ht="15.6" x14ac:dyDescent="0.3">
      <c r="A252" s="9" t="s">
        <v>560</v>
      </c>
      <c r="B252" s="47" t="s">
        <v>562</v>
      </c>
      <c r="C252" s="8" t="s">
        <v>702</v>
      </c>
      <c r="D252" s="8" t="s">
        <v>703</v>
      </c>
      <c r="E252" s="8"/>
      <c r="F252" s="8"/>
      <c r="G252" s="8"/>
      <c r="H252" s="12">
        <v>2.8</v>
      </c>
      <c r="I252" s="54">
        <f>VLOOKUP(A252,İstasyonlar!$A$2:$D$776,4,0)</f>
        <v>999999999</v>
      </c>
      <c r="J252" s="54">
        <f t="shared" si="7"/>
        <v>69</v>
      </c>
      <c r="K252" t="str">
        <f t="shared" si="6"/>
        <v>Sabit</v>
      </c>
    </row>
    <row r="253" spans="1:11" ht="15.6" x14ac:dyDescent="0.3">
      <c r="A253" s="9" t="s">
        <v>560</v>
      </c>
      <c r="B253" s="47" t="s">
        <v>563</v>
      </c>
      <c r="C253" s="8" t="s">
        <v>702</v>
      </c>
      <c r="D253" s="8" t="s">
        <v>703</v>
      </c>
      <c r="E253" s="8"/>
      <c r="F253" s="8"/>
      <c r="G253" s="8"/>
      <c r="H253" s="12">
        <v>2.8</v>
      </c>
      <c r="I253" s="54">
        <f>VLOOKUP(A253,İstasyonlar!$A$2:$D$776,4,0)</f>
        <v>999999999</v>
      </c>
      <c r="J253" s="54">
        <f t="shared" si="7"/>
        <v>69</v>
      </c>
      <c r="K253" t="str">
        <f t="shared" si="6"/>
        <v>Sabit</v>
      </c>
    </row>
    <row r="254" spans="1:11" ht="15.6" x14ac:dyDescent="0.3">
      <c r="A254" s="9" t="s">
        <v>564</v>
      </c>
      <c r="B254" s="47" t="s">
        <v>565</v>
      </c>
      <c r="C254" s="8" t="s">
        <v>703</v>
      </c>
      <c r="D254" s="8" t="s">
        <v>702</v>
      </c>
      <c r="E254" s="8" t="s">
        <v>707</v>
      </c>
      <c r="F254" s="8"/>
      <c r="G254" s="8"/>
      <c r="H254" s="12">
        <v>3.2</v>
      </c>
      <c r="I254" s="54">
        <f>VLOOKUP(A254,İstasyonlar!$A$2:$D$776,4,0)</f>
        <v>999999999</v>
      </c>
      <c r="J254" s="54">
        <f t="shared" si="7"/>
        <v>70</v>
      </c>
      <c r="K254" t="str">
        <f t="shared" si="6"/>
        <v>Sabit</v>
      </c>
    </row>
    <row r="255" spans="1:11" ht="15.6" x14ac:dyDescent="0.3">
      <c r="A255" s="9" t="s">
        <v>564</v>
      </c>
      <c r="B255" s="47" t="s">
        <v>566</v>
      </c>
      <c r="C255" s="8" t="s">
        <v>703</v>
      </c>
      <c r="D255" s="8" t="s">
        <v>702</v>
      </c>
      <c r="E255" s="8" t="s">
        <v>707</v>
      </c>
      <c r="F255" s="8"/>
      <c r="G255" s="8"/>
      <c r="H255" s="12">
        <v>3.2</v>
      </c>
      <c r="I255" s="54">
        <f>VLOOKUP(A255,İstasyonlar!$A$2:$D$776,4,0)</f>
        <v>999999999</v>
      </c>
      <c r="J255" s="54">
        <f t="shared" si="7"/>
        <v>70</v>
      </c>
      <c r="K255" t="str">
        <f t="shared" si="6"/>
        <v>Sabit</v>
      </c>
    </row>
    <row r="256" spans="1:11" ht="15.6" x14ac:dyDescent="0.3">
      <c r="A256" s="9" t="s">
        <v>564</v>
      </c>
      <c r="B256" s="47" t="s">
        <v>567</v>
      </c>
      <c r="C256" s="8" t="s">
        <v>703</v>
      </c>
      <c r="D256" s="8" t="s">
        <v>702</v>
      </c>
      <c r="E256" s="8" t="s">
        <v>707</v>
      </c>
      <c r="F256" s="8"/>
      <c r="G256" s="8"/>
      <c r="H256" s="12">
        <v>3.2</v>
      </c>
      <c r="I256" s="54">
        <f>VLOOKUP(A256,İstasyonlar!$A$2:$D$776,4,0)</f>
        <v>999999999</v>
      </c>
      <c r="J256" s="54">
        <f t="shared" si="7"/>
        <v>70</v>
      </c>
      <c r="K256" t="str">
        <f t="shared" si="6"/>
        <v>Sabit</v>
      </c>
    </row>
    <row r="257" spans="1:11" ht="15.6" x14ac:dyDescent="0.3">
      <c r="A257" s="9" t="s">
        <v>568</v>
      </c>
      <c r="B257" s="47" t="s">
        <v>569</v>
      </c>
      <c r="C257" s="8" t="s">
        <v>707</v>
      </c>
      <c r="D257" s="8"/>
      <c r="E257" s="8" t="s">
        <v>702</v>
      </c>
      <c r="F257" s="8"/>
      <c r="G257" s="8"/>
      <c r="H257" s="12">
        <v>5.8</v>
      </c>
      <c r="I257" s="54">
        <f>VLOOKUP(A257,İstasyonlar!$A$2:$D$776,4,0)</f>
        <v>999999999</v>
      </c>
      <c r="J257" s="54">
        <f t="shared" si="7"/>
        <v>71</v>
      </c>
      <c r="K257" t="str">
        <f t="shared" si="6"/>
        <v>Sabit</v>
      </c>
    </row>
    <row r="258" spans="1:11" ht="15.6" x14ac:dyDescent="0.3">
      <c r="A258" s="9" t="s">
        <v>568</v>
      </c>
      <c r="B258" s="47" t="s">
        <v>570</v>
      </c>
      <c r="C258" s="8" t="s">
        <v>707</v>
      </c>
      <c r="D258" s="8"/>
      <c r="E258" s="8" t="s">
        <v>702</v>
      </c>
      <c r="F258" s="8"/>
      <c r="G258" s="8"/>
      <c r="H258" s="12">
        <v>2.4</v>
      </c>
      <c r="I258" s="54">
        <f>VLOOKUP(A258,İstasyonlar!$A$2:$D$776,4,0)</f>
        <v>999999999</v>
      </c>
      <c r="J258" s="54">
        <f t="shared" si="7"/>
        <v>71</v>
      </c>
      <c r="K258" t="str">
        <f t="shared" si="6"/>
        <v>Sabit</v>
      </c>
    </row>
    <row r="259" spans="1:11" ht="15.6" x14ac:dyDescent="0.3">
      <c r="A259" s="9" t="s">
        <v>568</v>
      </c>
      <c r="B259" s="47" t="s">
        <v>571</v>
      </c>
      <c r="C259" s="8" t="s">
        <v>707</v>
      </c>
      <c r="D259" s="8"/>
      <c r="E259" s="8" t="s">
        <v>702</v>
      </c>
      <c r="F259" s="8"/>
      <c r="G259" s="8"/>
      <c r="H259" s="12">
        <v>2.4</v>
      </c>
      <c r="I259" s="54">
        <f>VLOOKUP(A259,İstasyonlar!$A$2:$D$776,4,0)</f>
        <v>999999999</v>
      </c>
      <c r="J259" s="54">
        <f t="shared" si="7"/>
        <v>71</v>
      </c>
      <c r="K259" t="str">
        <f t="shared" si="6"/>
        <v>Sabit</v>
      </c>
    </row>
    <row r="260" spans="1:11" ht="15.6" x14ac:dyDescent="0.3">
      <c r="A260" s="9" t="s">
        <v>568</v>
      </c>
      <c r="B260" s="47" t="s">
        <v>572</v>
      </c>
      <c r="C260" s="8" t="s">
        <v>707</v>
      </c>
      <c r="D260" s="8"/>
      <c r="E260" s="8" t="s">
        <v>702</v>
      </c>
      <c r="F260" s="8"/>
      <c r="G260" s="8"/>
      <c r="H260" s="12">
        <v>2.4</v>
      </c>
      <c r="I260" s="54">
        <f>VLOOKUP(A260,İstasyonlar!$A$2:$D$776,4,0)</f>
        <v>999999999</v>
      </c>
      <c r="J260" s="54">
        <f t="shared" si="7"/>
        <v>71</v>
      </c>
      <c r="K260" t="str">
        <f t="shared" si="6"/>
        <v>Sabit</v>
      </c>
    </row>
    <row r="261" spans="1:11" ht="15.6" x14ac:dyDescent="0.3">
      <c r="A261" s="9" t="s">
        <v>578</v>
      </c>
      <c r="B261" s="47" t="s">
        <v>579</v>
      </c>
      <c r="C261" s="8" t="s">
        <v>715</v>
      </c>
      <c r="D261" s="8" t="s">
        <v>716</v>
      </c>
      <c r="E261" s="8"/>
      <c r="F261" s="8"/>
      <c r="G261" s="8"/>
      <c r="H261" s="12">
        <v>8.5</v>
      </c>
      <c r="I261" s="54">
        <f>VLOOKUP(A261,İstasyonlar!$A$2:$D$776,4,0)</f>
        <v>999999999</v>
      </c>
      <c r="J261" s="54">
        <f t="shared" si="7"/>
        <v>72</v>
      </c>
      <c r="K261" t="str">
        <f t="shared" si="6"/>
        <v>Sabit</v>
      </c>
    </row>
    <row r="262" spans="1:11" ht="15.6" x14ac:dyDescent="0.3">
      <c r="A262" s="9" t="s">
        <v>580</v>
      </c>
      <c r="B262" s="47" t="s">
        <v>581</v>
      </c>
      <c r="C262" s="8" t="s">
        <v>716</v>
      </c>
      <c r="D262" s="8" t="s">
        <v>715</v>
      </c>
      <c r="E262" s="8" t="s">
        <v>718</v>
      </c>
      <c r="F262" s="8"/>
      <c r="G262" s="8"/>
      <c r="H262" s="12">
        <v>8.5</v>
      </c>
      <c r="I262" s="54">
        <f>VLOOKUP(A262,İstasyonlar!$A$2:$D$776,4,0)</f>
        <v>999999999</v>
      </c>
      <c r="J262" s="54">
        <f t="shared" si="7"/>
        <v>73</v>
      </c>
      <c r="K262" t="str">
        <f t="shared" si="6"/>
        <v>Sabit</v>
      </c>
    </row>
    <row r="263" spans="1:11" x14ac:dyDescent="0.3">
      <c r="A263"/>
      <c r="B263"/>
      <c r="C263"/>
      <c r="D263"/>
      <c r="E263"/>
      <c r="F263"/>
      <c r="G263"/>
    </row>
    <row r="264" spans="1:11" x14ac:dyDescent="0.3">
      <c r="A264"/>
      <c r="B264"/>
      <c r="C264"/>
      <c r="D264"/>
      <c r="E264"/>
      <c r="F264"/>
      <c r="G264"/>
    </row>
    <row r="265" spans="1:11" x14ac:dyDescent="0.3">
      <c r="A265"/>
      <c r="B265"/>
      <c r="C265"/>
      <c r="D265"/>
      <c r="E265"/>
      <c r="F265"/>
      <c r="G265"/>
    </row>
    <row r="266" spans="1:11" x14ac:dyDescent="0.3">
      <c r="A266"/>
      <c r="B266"/>
      <c r="C266"/>
      <c r="D266"/>
      <c r="E266"/>
      <c r="F266"/>
      <c r="G266"/>
    </row>
    <row r="267" spans="1:11" x14ac:dyDescent="0.3">
      <c r="A267"/>
      <c r="B267"/>
      <c r="C267"/>
      <c r="D267"/>
      <c r="E267"/>
      <c r="F267"/>
      <c r="G267"/>
    </row>
    <row r="268" spans="1:11" x14ac:dyDescent="0.3">
      <c r="A268"/>
      <c r="B268"/>
      <c r="C268"/>
      <c r="D268"/>
      <c r="E268"/>
      <c r="F268"/>
      <c r="G268"/>
    </row>
    <row r="269" spans="1:11" x14ac:dyDescent="0.3">
      <c r="A269"/>
      <c r="B269"/>
      <c r="C269"/>
      <c r="D269"/>
      <c r="E269"/>
      <c r="F269"/>
      <c r="G269"/>
    </row>
    <row r="270" spans="1:11" x14ac:dyDescent="0.3">
      <c r="A270"/>
      <c r="B270"/>
      <c r="C270"/>
      <c r="D270"/>
      <c r="E270"/>
      <c r="F270"/>
      <c r="G270"/>
    </row>
    <row r="271" spans="1:11" x14ac:dyDescent="0.3">
      <c r="A271"/>
      <c r="B271"/>
      <c r="C271"/>
      <c r="D271"/>
      <c r="E271"/>
      <c r="F271"/>
      <c r="G271"/>
    </row>
    <row r="272" spans="1:11" x14ac:dyDescent="0.3">
      <c r="A272"/>
      <c r="B272"/>
      <c r="C272"/>
      <c r="D272"/>
      <c r="E272"/>
      <c r="F272"/>
      <c r="G272"/>
    </row>
    <row r="273" customFormat="1" x14ac:dyDescent="0.3"/>
    <row r="274" customFormat="1" x14ac:dyDescent="0.3"/>
    <row r="275" customFormat="1" x14ac:dyDescent="0.3"/>
    <row r="276" customFormat="1" x14ac:dyDescent="0.3"/>
  </sheetData>
  <autoFilter ref="A1:J262" xr:uid="{E83B1A9F-21A8-4BC5-AECD-AE04BFEF17A1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D2270-3C85-4A35-ACAC-38EE73157252}">
  <dimension ref="B3:E8"/>
  <sheetViews>
    <sheetView workbookViewId="0">
      <selection activeCell="F6" sqref="F6"/>
    </sheetView>
  </sheetViews>
  <sheetFormatPr defaultRowHeight="14.4" x14ac:dyDescent="0.3"/>
  <cols>
    <col min="2" max="2" width="24.88671875" bestFit="1" customWidth="1"/>
    <col min="6" max="6" width="18.44140625" bestFit="1" customWidth="1"/>
  </cols>
  <sheetData>
    <row r="3" spans="2:5" x14ac:dyDescent="0.3">
      <c r="B3" s="2" t="s">
        <v>764</v>
      </c>
      <c r="C3" s="2">
        <v>78446</v>
      </c>
      <c r="D3" s="44"/>
      <c r="E3" s="44"/>
    </row>
    <row r="4" spans="2:5" x14ac:dyDescent="0.3">
      <c r="B4" s="2" t="s">
        <v>765</v>
      </c>
      <c r="C4" s="60">
        <v>6.5092592592592702E-2</v>
      </c>
      <c r="D4" s="44"/>
      <c r="E4" s="44"/>
    </row>
    <row r="5" spans="2:5" x14ac:dyDescent="0.3">
      <c r="B5" s="2" t="s">
        <v>766</v>
      </c>
      <c r="C5" s="2">
        <v>247</v>
      </c>
      <c r="D5" s="44"/>
      <c r="E5" s="44"/>
    </row>
    <row r="6" spans="2:5" x14ac:dyDescent="0.3">
      <c r="B6" s="70" t="s">
        <v>767</v>
      </c>
      <c r="C6" s="2" t="s">
        <v>604</v>
      </c>
      <c r="D6" s="44"/>
      <c r="E6" s="44"/>
    </row>
    <row r="7" spans="2:5" x14ac:dyDescent="0.3">
      <c r="B7" s="70"/>
      <c r="C7" s="2" t="s">
        <v>660</v>
      </c>
      <c r="D7" s="44"/>
      <c r="E7" s="44"/>
    </row>
    <row r="8" spans="2:5" x14ac:dyDescent="0.3">
      <c r="B8" s="70"/>
      <c r="C8" s="2" t="s">
        <v>609</v>
      </c>
      <c r="D8" s="44"/>
      <c r="E8" s="44"/>
    </row>
  </sheetData>
  <mergeCells count="1">
    <mergeCell ref="B6:B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71F34-FEFD-42B0-9D88-7B71597989E0}">
  <dimension ref="A1:B772"/>
  <sheetViews>
    <sheetView workbookViewId="0">
      <selection activeCell="J14" sqref="J14"/>
    </sheetView>
  </sheetViews>
  <sheetFormatPr defaultRowHeight="14.4" x14ac:dyDescent="0.3"/>
  <cols>
    <col min="1" max="1" width="15.33203125" customWidth="1"/>
    <col min="2" max="2" width="14.44140625" bestFit="1" customWidth="1"/>
  </cols>
  <sheetData>
    <row r="1" spans="1:2" x14ac:dyDescent="0.3">
      <c r="A1" s="44" t="s">
        <v>768</v>
      </c>
      <c r="B1" s="44" t="s">
        <v>743</v>
      </c>
    </row>
    <row r="2" spans="1:2" x14ac:dyDescent="0.3">
      <c r="A2" t="s">
        <v>466</v>
      </c>
    </row>
    <row r="3" spans="1:2" x14ac:dyDescent="0.3">
      <c r="A3" t="s">
        <v>466</v>
      </c>
    </row>
    <row r="4" spans="1:2" x14ac:dyDescent="0.3">
      <c r="A4" t="s">
        <v>466</v>
      </c>
    </row>
    <row r="5" spans="1:2" x14ac:dyDescent="0.3">
      <c r="A5" t="s">
        <v>466</v>
      </c>
    </row>
    <row r="6" spans="1:2" x14ac:dyDescent="0.3">
      <c r="A6" t="s">
        <v>54</v>
      </c>
      <c r="B6" t="s">
        <v>577</v>
      </c>
    </row>
    <row r="7" spans="1:2" x14ac:dyDescent="0.3">
      <c r="A7" t="s">
        <v>54</v>
      </c>
      <c r="B7" t="s">
        <v>577</v>
      </c>
    </row>
    <row r="8" spans="1:2" x14ac:dyDescent="0.3">
      <c r="A8" t="s">
        <v>54</v>
      </c>
      <c r="B8" t="s">
        <v>577</v>
      </c>
    </row>
    <row r="9" spans="1:2" x14ac:dyDescent="0.3">
      <c r="A9" t="s">
        <v>54</v>
      </c>
      <c r="B9" t="s">
        <v>577</v>
      </c>
    </row>
    <row r="10" spans="1:2" x14ac:dyDescent="0.3">
      <c r="A10" t="s">
        <v>54</v>
      </c>
      <c r="B10" t="s">
        <v>577</v>
      </c>
    </row>
    <row r="11" spans="1:2" x14ac:dyDescent="0.3">
      <c r="A11" t="s">
        <v>54</v>
      </c>
      <c r="B11" t="s">
        <v>577</v>
      </c>
    </row>
    <row r="12" spans="1:2" x14ac:dyDescent="0.3">
      <c r="A12" t="s">
        <v>54</v>
      </c>
      <c r="B12" t="s">
        <v>577</v>
      </c>
    </row>
    <row r="13" spans="1:2" x14ac:dyDescent="0.3">
      <c r="A13" t="s">
        <v>54</v>
      </c>
      <c r="B13" t="s">
        <v>577</v>
      </c>
    </row>
    <row r="14" spans="1:2" x14ac:dyDescent="0.3">
      <c r="A14" t="s">
        <v>37</v>
      </c>
    </row>
    <row r="15" spans="1:2" x14ac:dyDescent="0.3">
      <c r="A15" t="s">
        <v>37</v>
      </c>
    </row>
    <row r="16" spans="1:2" x14ac:dyDescent="0.3">
      <c r="A16" t="s">
        <v>37</v>
      </c>
    </row>
    <row r="17" spans="1:2" x14ac:dyDescent="0.3">
      <c r="A17" t="s">
        <v>37</v>
      </c>
    </row>
    <row r="18" spans="1:2" x14ac:dyDescent="0.3">
      <c r="A18" t="s">
        <v>37</v>
      </c>
    </row>
    <row r="19" spans="1:2" x14ac:dyDescent="0.3">
      <c r="A19" t="s">
        <v>37</v>
      </c>
    </row>
    <row r="20" spans="1:2" x14ac:dyDescent="0.3">
      <c r="A20" t="s">
        <v>37</v>
      </c>
    </row>
    <row r="21" spans="1:2" x14ac:dyDescent="0.3">
      <c r="A21" t="s">
        <v>37</v>
      </c>
    </row>
    <row r="22" spans="1:2" x14ac:dyDescent="0.3">
      <c r="A22" t="s">
        <v>37</v>
      </c>
    </row>
    <row r="23" spans="1:2" x14ac:dyDescent="0.3">
      <c r="A23" t="s">
        <v>37</v>
      </c>
    </row>
    <row r="24" spans="1:2" x14ac:dyDescent="0.3">
      <c r="A24" t="s">
        <v>37</v>
      </c>
    </row>
    <row r="25" spans="1:2" x14ac:dyDescent="0.3">
      <c r="A25" t="s">
        <v>1</v>
      </c>
      <c r="B25" t="s">
        <v>577</v>
      </c>
    </row>
    <row r="26" spans="1:2" x14ac:dyDescent="0.3">
      <c r="A26" t="s">
        <v>1</v>
      </c>
      <c r="B26" t="s">
        <v>577</v>
      </c>
    </row>
    <row r="27" spans="1:2" x14ac:dyDescent="0.3">
      <c r="A27" t="s">
        <v>47</v>
      </c>
      <c r="B27" t="s">
        <v>577</v>
      </c>
    </row>
    <row r="28" spans="1:2" x14ac:dyDescent="0.3">
      <c r="A28" t="s">
        <v>47</v>
      </c>
      <c r="B28" t="s">
        <v>577</v>
      </c>
    </row>
    <row r="29" spans="1:2" x14ac:dyDescent="0.3">
      <c r="A29" t="s">
        <v>47</v>
      </c>
      <c r="B29" t="s">
        <v>577</v>
      </c>
    </row>
    <row r="30" spans="1:2" x14ac:dyDescent="0.3">
      <c r="A30" t="s">
        <v>47</v>
      </c>
      <c r="B30" t="s">
        <v>577</v>
      </c>
    </row>
    <row r="31" spans="1:2" x14ac:dyDescent="0.3">
      <c r="A31" t="s">
        <v>47</v>
      </c>
      <c r="B31" t="s">
        <v>577</v>
      </c>
    </row>
    <row r="32" spans="1:2" x14ac:dyDescent="0.3">
      <c r="A32" t="s">
        <v>47</v>
      </c>
      <c r="B32" t="s">
        <v>577</v>
      </c>
    </row>
    <row r="33" spans="1:2" x14ac:dyDescent="0.3">
      <c r="A33" t="s">
        <v>47</v>
      </c>
      <c r="B33" t="s">
        <v>577</v>
      </c>
    </row>
    <row r="34" spans="1:2" x14ac:dyDescent="0.3">
      <c r="A34" t="s">
        <v>47</v>
      </c>
      <c r="B34" t="s">
        <v>577</v>
      </c>
    </row>
    <row r="35" spans="1:2" x14ac:dyDescent="0.3">
      <c r="A35" t="s">
        <v>47</v>
      </c>
      <c r="B35" t="s">
        <v>577</v>
      </c>
    </row>
    <row r="36" spans="1:2" x14ac:dyDescent="0.3">
      <c r="A36" t="s">
        <v>47</v>
      </c>
      <c r="B36" t="s">
        <v>577</v>
      </c>
    </row>
    <row r="37" spans="1:2" x14ac:dyDescent="0.3">
      <c r="A37" t="s">
        <v>47</v>
      </c>
      <c r="B37" t="s">
        <v>577</v>
      </c>
    </row>
    <row r="38" spans="1:2" x14ac:dyDescent="0.3">
      <c r="A38" t="s">
        <v>47</v>
      </c>
      <c r="B38" t="s">
        <v>577</v>
      </c>
    </row>
    <row r="39" spans="1:2" x14ac:dyDescent="0.3">
      <c r="A39" t="s">
        <v>47</v>
      </c>
      <c r="B39" t="s">
        <v>577</v>
      </c>
    </row>
    <row r="40" spans="1:2" x14ac:dyDescent="0.3">
      <c r="A40" t="s">
        <v>47</v>
      </c>
      <c r="B40" t="s">
        <v>577</v>
      </c>
    </row>
    <row r="41" spans="1:2" x14ac:dyDescent="0.3">
      <c r="A41" t="s">
        <v>47</v>
      </c>
      <c r="B41" t="s">
        <v>577</v>
      </c>
    </row>
    <row r="42" spans="1:2" x14ac:dyDescent="0.3">
      <c r="A42" t="s">
        <v>47</v>
      </c>
      <c r="B42" t="s">
        <v>577</v>
      </c>
    </row>
    <row r="43" spans="1:2" x14ac:dyDescent="0.3">
      <c r="A43" t="s">
        <v>47</v>
      </c>
      <c r="B43" t="s">
        <v>577</v>
      </c>
    </row>
    <row r="44" spans="1:2" x14ac:dyDescent="0.3">
      <c r="A44" t="s">
        <v>47</v>
      </c>
      <c r="B44" t="s">
        <v>577</v>
      </c>
    </row>
    <row r="45" spans="1:2" x14ac:dyDescent="0.3">
      <c r="A45" t="s">
        <v>47</v>
      </c>
      <c r="B45" t="s">
        <v>577</v>
      </c>
    </row>
    <row r="46" spans="1:2" x14ac:dyDescent="0.3">
      <c r="A46" t="s">
        <v>47</v>
      </c>
      <c r="B46" t="s">
        <v>577</v>
      </c>
    </row>
    <row r="47" spans="1:2" x14ac:dyDescent="0.3">
      <c r="A47" t="s">
        <v>47</v>
      </c>
      <c r="B47" t="s">
        <v>577</v>
      </c>
    </row>
    <row r="48" spans="1:2" x14ac:dyDescent="0.3">
      <c r="A48" t="s">
        <v>47</v>
      </c>
      <c r="B48" t="s">
        <v>577</v>
      </c>
    </row>
    <row r="49" spans="1:2" x14ac:dyDescent="0.3">
      <c r="A49" t="s">
        <v>47</v>
      </c>
      <c r="B49" t="s">
        <v>577</v>
      </c>
    </row>
    <row r="50" spans="1:2" x14ac:dyDescent="0.3">
      <c r="A50" t="s">
        <v>47</v>
      </c>
      <c r="B50" t="s">
        <v>577</v>
      </c>
    </row>
    <row r="51" spans="1:2" x14ac:dyDescent="0.3">
      <c r="A51" t="s">
        <v>747</v>
      </c>
      <c r="B51" t="s">
        <v>577</v>
      </c>
    </row>
    <row r="52" spans="1:2" x14ac:dyDescent="0.3">
      <c r="A52" t="s">
        <v>747</v>
      </c>
      <c r="B52" t="s">
        <v>577</v>
      </c>
    </row>
    <row r="53" spans="1:2" x14ac:dyDescent="0.3">
      <c r="A53" t="s">
        <v>747</v>
      </c>
      <c r="B53" t="s">
        <v>577</v>
      </c>
    </row>
    <row r="54" spans="1:2" x14ac:dyDescent="0.3">
      <c r="A54" t="s">
        <v>747</v>
      </c>
      <c r="B54" t="s">
        <v>577</v>
      </c>
    </row>
    <row r="55" spans="1:2" x14ac:dyDescent="0.3">
      <c r="A55" t="s">
        <v>747</v>
      </c>
      <c r="B55" t="s">
        <v>577</v>
      </c>
    </row>
    <row r="56" spans="1:2" x14ac:dyDescent="0.3">
      <c r="A56" t="s">
        <v>747</v>
      </c>
      <c r="B56" t="s">
        <v>577</v>
      </c>
    </row>
    <row r="57" spans="1:2" x14ac:dyDescent="0.3">
      <c r="A57" t="s">
        <v>747</v>
      </c>
      <c r="B57" t="s">
        <v>577</v>
      </c>
    </row>
    <row r="58" spans="1:2" x14ac:dyDescent="0.3">
      <c r="A58" t="s">
        <v>747</v>
      </c>
      <c r="B58" t="s">
        <v>577</v>
      </c>
    </row>
    <row r="59" spans="1:2" x14ac:dyDescent="0.3">
      <c r="A59" t="s">
        <v>747</v>
      </c>
      <c r="B59" t="s">
        <v>577</v>
      </c>
    </row>
    <row r="60" spans="1:2" x14ac:dyDescent="0.3">
      <c r="A60" t="s">
        <v>747</v>
      </c>
      <c r="B60" t="s">
        <v>577</v>
      </c>
    </row>
    <row r="61" spans="1:2" x14ac:dyDescent="0.3">
      <c r="A61" t="s">
        <v>747</v>
      </c>
      <c r="B61" t="s">
        <v>577</v>
      </c>
    </row>
    <row r="62" spans="1:2" x14ac:dyDescent="0.3">
      <c r="A62" t="s">
        <v>747</v>
      </c>
      <c r="B62" t="s">
        <v>577</v>
      </c>
    </row>
    <row r="63" spans="1:2" x14ac:dyDescent="0.3">
      <c r="A63" t="s">
        <v>747</v>
      </c>
      <c r="B63" t="s">
        <v>577</v>
      </c>
    </row>
    <row r="64" spans="1:2" x14ac:dyDescent="0.3">
      <c r="A64" t="s">
        <v>747</v>
      </c>
      <c r="B64" t="s">
        <v>577</v>
      </c>
    </row>
    <row r="65" spans="1:2" x14ac:dyDescent="0.3">
      <c r="A65" t="s">
        <v>747</v>
      </c>
      <c r="B65" t="s">
        <v>577</v>
      </c>
    </row>
    <row r="66" spans="1:2" x14ac:dyDescent="0.3">
      <c r="A66" t="s">
        <v>747</v>
      </c>
      <c r="B66" t="s">
        <v>577</v>
      </c>
    </row>
    <row r="67" spans="1:2" x14ac:dyDescent="0.3">
      <c r="A67" t="s">
        <v>747</v>
      </c>
      <c r="B67" t="s">
        <v>577</v>
      </c>
    </row>
    <row r="68" spans="1:2" x14ac:dyDescent="0.3">
      <c r="A68" t="s">
        <v>747</v>
      </c>
      <c r="B68" t="s">
        <v>577</v>
      </c>
    </row>
    <row r="69" spans="1:2" x14ac:dyDescent="0.3">
      <c r="A69" t="s">
        <v>747</v>
      </c>
      <c r="B69" t="s">
        <v>577</v>
      </c>
    </row>
    <row r="70" spans="1:2" x14ac:dyDescent="0.3">
      <c r="A70" t="s">
        <v>747</v>
      </c>
      <c r="B70" t="s">
        <v>577</v>
      </c>
    </row>
    <row r="71" spans="1:2" x14ac:dyDescent="0.3">
      <c r="A71" t="s">
        <v>15</v>
      </c>
      <c r="B71" t="s">
        <v>577</v>
      </c>
    </row>
    <row r="72" spans="1:2" x14ac:dyDescent="0.3">
      <c r="A72" t="s">
        <v>15</v>
      </c>
      <c r="B72" t="s">
        <v>577</v>
      </c>
    </row>
    <row r="73" spans="1:2" x14ac:dyDescent="0.3">
      <c r="A73" t="s">
        <v>15</v>
      </c>
      <c r="B73" t="s">
        <v>577</v>
      </c>
    </row>
    <row r="74" spans="1:2" x14ac:dyDescent="0.3">
      <c r="A74" t="s">
        <v>15</v>
      </c>
      <c r="B74" t="s">
        <v>577</v>
      </c>
    </row>
    <row r="75" spans="1:2" x14ac:dyDescent="0.3">
      <c r="A75" t="s">
        <v>15</v>
      </c>
      <c r="B75" t="s">
        <v>577</v>
      </c>
    </row>
    <row r="76" spans="1:2" x14ac:dyDescent="0.3">
      <c r="A76" t="s">
        <v>759</v>
      </c>
      <c r="B76" t="s">
        <v>577</v>
      </c>
    </row>
    <row r="77" spans="1:2" x14ac:dyDescent="0.3">
      <c r="A77" t="s">
        <v>759</v>
      </c>
      <c r="B77" t="s">
        <v>577</v>
      </c>
    </row>
    <row r="78" spans="1:2" x14ac:dyDescent="0.3">
      <c r="A78" t="s">
        <v>759</v>
      </c>
      <c r="B78" t="s">
        <v>577</v>
      </c>
    </row>
    <row r="79" spans="1:2" x14ac:dyDescent="0.3">
      <c r="A79" t="s">
        <v>759</v>
      </c>
      <c r="B79" t="s">
        <v>577</v>
      </c>
    </row>
    <row r="80" spans="1:2" x14ac:dyDescent="0.3">
      <c r="A80" t="s">
        <v>760</v>
      </c>
      <c r="B80" t="s">
        <v>577</v>
      </c>
    </row>
    <row r="81" spans="1:2" x14ac:dyDescent="0.3">
      <c r="A81" t="s">
        <v>760</v>
      </c>
      <c r="B81" t="s">
        <v>577</v>
      </c>
    </row>
    <row r="82" spans="1:2" x14ac:dyDescent="0.3">
      <c r="A82" t="s">
        <v>760</v>
      </c>
      <c r="B82" t="s">
        <v>577</v>
      </c>
    </row>
    <row r="83" spans="1:2" x14ac:dyDescent="0.3">
      <c r="A83" t="s">
        <v>757</v>
      </c>
      <c r="B83" t="s">
        <v>577</v>
      </c>
    </row>
    <row r="84" spans="1:2" x14ac:dyDescent="0.3">
      <c r="A84" t="s">
        <v>757</v>
      </c>
      <c r="B84" t="s">
        <v>577</v>
      </c>
    </row>
    <row r="85" spans="1:2" x14ac:dyDescent="0.3">
      <c r="A85" t="s">
        <v>757</v>
      </c>
      <c r="B85" t="s">
        <v>577</v>
      </c>
    </row>
    <row r="86" spans="1:2" x14ac:dyDescent="0.3">
      <c r="A86" t="s">
        <v>757</v>
      </c>
      <c r="B86" t="s">
        <v>577</v>
      </c>
    </row>
    <row r="87" spans="1:2" x14ac:dyDescent="0.3">
      <c r="A87" t="s">
        <v>757</v>
      </c>
      <c r="B87" t="s">
        <v>577</v>
      </c>
    </row>
    <row r="88" spans="1:2" x14ac:dyDescent="0.3">
      <c r="A88" t="s">
        <v>757</v>
      </c>
      <c r="B88" t="s">
        <v>577</v>
      </c>
    </row>
    <row r="89" spans="1:2" x14ac:dyDescent="0.3">
      <c r="A89" t="s">
        <v>758</v>
      </c>
      <c r="B89" t="s">
        <v>577</v>
      </c>
    </row>
    <row r="90" spans="1:2" x14ac:dyDescent="0.3">
      <c r="A90" t="s">
        <v>758</v>
      </c>
      <c r="B90" t="s">
        <v>577</v>
      </c>
    </row>
    <row r="91" spans="1:2" x14ac:dyDescent="0.3">
      <c r="A91" t="s">
        <v>758</v>
      </c>
      <c r="B91" t="s">
        <v>577</v>
      </c>
    </row>
    <row r="92" spans="1:2" x14ac:dyDescent="0.3">
      <c r="A92" t="s">
        <v>539</v>
      </c>
    </row>
    <row r="93" spans="1:2" x14ac:dyDescent="0.3">
      <c r="A93" t="s">
        <v>539</v>
      </c>
    </row>
    <row r="94" spans="1:2" x14ac:dyDescent="0.3">
      <c r="A94" t="s">
        <v>539</v>
      </c>
    </row>
    <row r="95" spans="1:2" x14ac:dyDescent="0.3">
      <c r="A95" t="s">
        <v>539</v>
      </c>
    </row>
    <row r="96" spans="1:2" x14ac:dyDescent="0.3">
      <c r="A96" t="s">
        <v>329</v>
      </c>
    </row>
    <row r="97" spans="1:1" x14ac:dyDescent="0.3">
      <c r="A97" t="s">
        <v>329</v>
      </c>
    </row>
    <row r="98" spans="1:1" x14ac:dyDescent="0.3">
      <c r="A98" t="s">
        <v>329</v>
      </c>
    </row>
    <row r="99" spans="1:1" x14ac:dyDescent="0.3">
      <c r="A99" t="s">
        <v>329</v>
      </c>
    </row>
    <row r="100" spans="1:1" x14ac:dyDescent="0.3">
      <c r="A100" t="s">
        <v>329</v>
      </c>
    </row>
    <row r="101" spans="1:1" x14ac:dyDescent="0.3">
      <c r="A101" t="s">
        <v>329</v>
      </c>
    </row>
    <row r="102" spans="1:1" x14ac:dyDescent="0.3">
      <c r="A102" t="s">
        <v>329</v>
      </c>
    </row>
    <row r="103" spans="1:1" x14ac:dyDescent="0.3">
      <c r="A103" t="s">
        <v>36</v>
      </c>
    </row>
    <row r="104" spans="1:1" x14ac:dyDescent="0.3">
      <c r="A104" t="s">
        <v>36</v>
      </c>
    </row>
    <row r="105" spans="1:1" x14ac:dyDescent="0.3">
      <c r="A105" t="s">
        <v>36</v>
      </c>
    </row>
    <row r="106" spans="1:1" x14ac:dyDescent="0.3">
      <c r="A106" t="s">
        <v>36</v>
      </c>
    </row>
    <row r="107" spans="1:1" x14ac:dyDescent="0.3">
      <c r="A107" t="s">
        <v>36</v>
      </c>
    </row>
    <row r="108" spans="1:1" x14ac:dyDescent="0.3">
      <c r="A108" t="s">
        <v>36</v>
      </c>
    </row>
    <row r="109" spans="1:1" x14ac:dyDescent="0.3">
      <c r="A109" t="s">
        <v>36</v>
      </c>
    </row>
    <row r="110" spans="1:1" x14ac:dyDescent="0.3">
      <c r="A110" t="s">
        <v>36</v>
      </c>
    </row>
    <row r="111" spans="1:1" x14ac:dyDescent="0.3">
      <c r="A111" t="s">
        <v>36</v>
      </c>
    </row>
    <row r="112" spans="1:1" x14ac:dyDescent="0.3">
      <c r="A112" t="s">
        <v>36</v>
      </c>
    </row>
    <row r="113" spans="1:2" x14ac:dyDescent="0.3">
      <c r="A113" t="s">
        <v>36</v>
      </c>
    </row>
    <row r="114" spans="1:2" x14ac:dyDescent="0.3">
      <c r="A114" t="s">
        <v>36</v>
      </c>
    </row>
    <row r="115" spans="1:2" x14ac:dyDescent="0.3">
      <c r="A115" t="s">
        <v>36</v>
      </c>
    </row>
    <row r="116" spans="1:2" x14ac:dyDescent="0.3">
      <c r="A116" t="s">
        <v>36</v>
      </c>
    </row>
    <row r="117" spans="1:2" x14ac:dyDescent="0.3">
      <c r="A117" t="s">
        <v>36</v>
      </c>
    </row>
    <row r="118" spans="1:2" x14ac:dyDescent="0.3">
      <c r="A118" t="s">
        <v>36</v>
      </c>
    </row>
    <row r="119" spans="1:2" x14ac:dyDescent="0.3">
      <c r="A119" t="s">
        <v>36</v>
      </c>
    </row>
    <row r="120" spans="1:2" x14ac:dyDescent="0.3">
      <c r="A120" t="s">
        <v>4</v>
      </c>
    </row>
    <row r="121" spans="1:2" x14ac:dyDescent="0.3">
      <c r="A121" t="s">
        <v>4</v>
      </c>
    </row>
    <row r="122" spans="1:2" x14ac:dyDescent="0.3">
      <c r="A122" t="s">
        <v>4</v>
      </c>
    </row>
    <row r="123" spans="1:2" x14ac:dyDescent="0.3">
      <c r="A123" t="s">
        <v>4</v>
      </c>
    </row>
    <row r="124" spans="1:2" x14ac:dyDescent="0.3">
      <c r="A124" t="s">
        <v>4</v>
      </c>
    </row>
    <row r="125" spans="1:2" x14ac:dyDescent="0.3">
      <c r="A125" t="s">
        <v>53</v>
      </c>
      <c r="B125" t="s">
        <v>577</v>
      </c>
    </row>
    <row r="126" spans="1:2" x14ac:dyDescent="0.3">
      <c r="A126" t="s">
        <v>53</v>
      </c>
      <c r="B126" t="s">
        <v>577</v>
      </c>
    </row>
    <row r="127" spans="1:2" x14ac:dyDescent="0.3">
      <c r="A127" t="s">
        <v>53</v>
      </c>
      <c r="B127" t="s">
        <v>577</v>
      </c>
    </row>
    <row r="128" spans="1:2" x14ac:dyDescent="0.3">
      <c r="A128" t="s">
        <v>53</v>
      </c>
      <c r="B128" t="s">
        <v>577</v>
      </c>
    </row>
    <row r="129" spans="1:2" x14ac:dyDescent="0.3">
      <c r="A129" t="s">
        <v>53</v>
      </c>
      <c r="B129" t="s">
        <v>577</v>
      </c>
    </row>
    <row r="130" spans="1:2" x14ac:dyDescent="0.3">
      <c r="A130" t="s">
        <v>53</v>
      </c>
      <c r="B130" t="s">
        <v>577</v>
      </c>
    </row>
    <row r="131" spans="1:2" x14ac:dyDescent="0.3">
      <c r="A131" t="s">
        <v>53</v>
      </c>
      <c r="B131" t="s">
        <v>577</v>
      </c>
    </row>
    <row r="132" spans="1:2" x14ac:dyDescent="0.3">
      <c r="A132" t="s">
        <v>53</v>
      </c>
      <c r="B132" t="s">
        <v>577</v>
      </c>
    </row>
    <row r="133" spans="1:2" x14ac:dyDescent="0.3">
      <c r="A133" t="s">
        <v>53</v>
      </c>
      <c r="B133" t="s">
        <v>577</v>
      </c>
    </row>
    <row r="134" spans="1:2" x14ac:dyDescent="0.3">
      <c r="A134" t="s">
        <v>53</v>
      </c>
      <c r="B134" t="s">
        <v>577</v>
      </c>
    </row>
    <row r="135" spans="1:2" x14ac:dyDescent="0.3">
      <c r="A135" t="s">
        <v>2</v>
      </c>
      <c r="B135" t="s">
        <v>577</v>
      </c>
    </row>
    <row r="136" spans="1:2" x14ac:dyDescent="0.3">
      <c r="A136" t="s">
        <v>2</v>
      </c>
      <c r="B136" t="s">
        <v>577</v>
      </c>
    </row>
    <row r="137" spans="1:2" x14ac:dyDescent="0.3">
      <c r="A137" t="s">
        <v>2</v>
      </c>
      <c r="B137" t="s">
        <v>577</v>
      </c>
    </row>
    <row r="138" spans="1:2" x14ac:dyDescent="0.3">
      <c r="A138" t="s">
        <v>2</v>
      </c>
      <c r="B138" t="s">
        <v>577</v>
      </c>
    </row>
    <row r="139" spans="1:2" x14ac:dyDescent="0.3">
      <c r="A139" t="s">
        <v>2</v>
      </c>
      <c r="B139" t="s">
        <v>577</v>
      </c>
    </row>
    <row r="140" spans="1:2" x14ac:dyDescent="0.3">
      <c r="A140" t="s">
        <v>2</v>
      </c>
      <c r="B140" t="s">
        <v>577</v>
      </c>
    </row>
    <row r="141" spans="1:2" x14ac:dyDescent="0.3">
      <c r="A141" t="s">
        <v>2</v>
      </c>
      <c r="B141" t="s">
        <v>577</v>
      </c>
    </row>
    <row r="142" spans="1:2" x14ac:dyDescent="0.3">
      <c r="A142" t="s">
        <v>0</v>
      </c>
    </row>
    <row r="143" spans="1:2" x14ac:dyDescent="0.3">
      <c r="A143" t="s">
        <v>0</v>
      </c>
    </row>
    <row r="144" spans="1:2" x14ac:dyDescent="0.3">
      <c r="A144" t="s">
        <v>57</v>
      </c>
    </row>
    <row r="145" spans="1:2" x14ac:dyDescent="0.3">
      <c r="A145" t="s">
        <v>57</v>
      </c>
    </row>
    <row r="146" spans="1:2" x14ac:dyDescent="0.3">
      <c r="A146" t="s">
        <v>57</v>
      </c>
    </row>
    <row r="147" spans="1:2" x14ac:dyDescent="0.3">
      <c r="A147" t="s">
        <v>57</v>
      </c>
    </row>
    <row r="148" spans="1:2" x14ac:dyDescent="0.3">
      <c r="A148" t="s">
        <v>57</v>
      </c>
    </row>
    <row r="149" spans="1:2" x14ac:dyDescent="0.3">
      <c r="A149" t="s">
        <v>57</v>
      </c>
    </row>
    <row r="150" spans="1:2" x14ac:dyDescent="0.3">
      <c r="A150" t="s">
        <v>57</v>
      </c>
    </row>
    <row r="151" spans="1:2" x14ac:dyDescent="0.3">
      <c r="A151" t="s">
        <v>748</v>
      </c>
      <c r="B151" t="s">
        <v>577</v>
      </c>
    </row>
    <row r="152" spans="1:2" x14ac:dyDescent="0.3">
      <c r="A152" t="s">
        <v>748</v>
      </c>
      <c r="B152" t="s">
        <v>577</v>
      </c>
    </row>
    <row r="153" spans="1:2" x14ac:dyDescent="0.3">
      <c r="A153" t="s">
        <v>748</v>
      </c>
      <c r="B153" t="s">
        <v>577</v>
      </c>
    </row>
    <row r="154" spans="1:2" x14ac:dyDescent="0.3">
      <c r="A154" t="s">
        <v>748</v>
      </c>
      <c r="B154" t="s">
        <v>577</v>
      </c>
    </row>
    <row r="155" spans="1:2" x14ac:dyDescent="0.3">
      <c r="A155" t="s">
        <v>748</v>
      </c>
      <c r="B155" t="s">
        <v>577</v>
      </c>
    </row>
    <row r="156" spans="1:2" x14ac:dyDescent="0.3">
      <c r="A156" t="s">
        <v>748</v>
      </c>
      <c r="B156" t="s">
        <v>577</v>
      </c>
    </row>
    <row r="157" spans="1:2" x14ac:dyDescent="0.3">
      <c r="A157" t="s">
        <v>748</v>
      </c>
      <c r="B157" t="s">
        <v>577</v>
      </c>
    </row>
    <row r="158" spans="1:2" x14ac:dyDescent="0.3">
      <c r="A158" t="s">
        <v>748</v>
      </c>
      <c r="B158" t="s">
        <v>577</v>
      </c>
    </row>
    <row r="159" spans="1:2" x14ac:dyDescent="0.3">
      <c r="A159" t="s">
        <v>748</v>
      </c>
      <c r="B159" t="s">
        <v>577</v>
      </c>
    </row>
    <row r="160" spans="1:2" x14ac:dyDescent="0.3">
      <c r="A160" t="s">
        <v>748</v>
      </c>
      <c r="B160" t="s">
        <v>577</v>
      </c>
    </row>
    <row r="161" spans="1:2" x14ac:dyDescent="0.3">
      <c r="A161" t="s">
        <v>748</v>
      </c>
      <c r="B161" t="s">
        <v>577</v>
      </c>
    </row>
    <row r="162" spans="1:2" x14ac:dyDescent="0.3">
      <c r="A162" t="s">
        <v>748</v>
      </c>
      <c r="B162" t="s">
        <v>577</v>
      </c>
    </row>
    <row r="163" spans="1:2" x14ac:dyDescent="0.3">
      <c r="A163" t="s">
        <v>746</v>
      </c>
      <c r="B163" t="s">
        <v>577</v>
      </c>
    </row>
    <row r="164" spans="1:2" x14ac:dyDescent="0.3">
      <c r="A164" t="s">
        <v>746</v>
      </c>
      <c r="B164" t="s">
        <v>577</v>
      </c>
    </row>
    <row r="165" spans="1:2" x14ac:dyDescent="0.3">
      <c r="A165" t="s">
        <v>746</v>
      </c>
      <c r="B165" t="s">
        <v>577</v>
      </c>
    </row>
    <row r="166" spans="1:2" x14ac:dyDescent="0.3">
      <c r="A166" t="s">
        <v>746</v>
      </c>
      <c r="B166" t="s">
        <v>577</v>
      </c>
    </row>
    <row r="167" spans="1:2" x14ac:dyDescent="0.3">
      <c r="A167" t="s">
        <v>746</v>
      </c>
      <c r="B167" t="s">
        <v>577</v>
      </c>
    </row>
    <row r="168" spans="1:2" x14ac:dyDescent="0.3">
      <c r="A168" t="s">
        <v>746</v>
      </c>
      <c r="B168" t="s">
        <v>577</v>
      </c>
    </row>
    <row r="169" spans="1:2" x14ac:dyDescent="0.3">
      <c r="A169" t="s">
        <v>746</v>
      </c>
      <c r="B169" t="s">
        <v>577</v>
      </c>
    </row>
    <row r="170" spans="1:2" x14ac:dyDescent="0.3">
      <c r="A170" t="s">
        <v>746</v>
      </c>
      <c r="B170" t="s">
        <v>577</v>
      </c>
    </row>
    <row r="171" spans="1:2" x14ac:dyDescent="0.3">
      <c r="A171" t="s">
        <v>746</v>
      </c>
      <c r="B171" t="s">
        <v>577</v>
      </c>
    </row>
    <row r="172" spans="1:2" x14ac:dyDescent="0.3">
      <c r="A172" t="s">
        <v>746</v>
      </c>
      <c r="B172" t="s">
        <v>577</v>
      </c>
    </row>
    <row r="173" spans="1:2" x14ac:dyDescent="0.3">
      <c r="A173" t="s">
        <v>746</v>
      </c>
      <c r="B173" t="s">
        <v>577</v>
      </c>
    </row>
    <row r="174" spans="1:2" x14ac:dyDescent="0.3">
      <c r="A174" t="s">
        <v>746</v>
      </c>
      <c r="B174" t="s">
        <v>577</v>
      </c>
    </row>
    <row r="175" spans="1:2" x14ac:dyDescent="0.3">
      <c r="A175" t="s">
        <v>746</v>
      </c>
      <c r="B175" t="s">
        <v>577</v>
      </c>
    </row>
    <row r="176" spans="1:2" x14ac:dyDescent="0.3">
      <c r="A176" t="s">
        <v>58</v>
      </c>
      <c r="B176" t="s">
        <v>577</v>
      </c>
    </row>
    <row r="177" spans="1:2" x14ac:dyDescent="0.3">
      <c r="A177" t="s">
        <v>58</v>
      </c>
      <c r="B177" t="s">
        <v>577</v>
      </c>
    </row>
    <row r="178" spans="1:2" x14ac:dyDescent="0.3">
      <c r="A178" t="s">
        <v>58</v>
      </c>
      <c r="B178" t="s">
        <v>577</v>
      </c>
    </row>
    <row r="179" spans="1:2" x14ac:dyDescent="0.3">
      <c r="A179" t="s">
        <v>58</v>
      </c>
      <c r="B179" t="s">
        <v>577</v>
      </c>
    </row>
    <row r="180" spans="1:2" x14ac:dyDescent="0.3">
      <c r="A180" t="s">
        <v>58</v>
      </c>
      <c r="B180" t="s">
        <v>577</v>
      </c>
    </row>
    <row r="181" spans="1:2" x14ac:dyDescent="0.3">
      <c r="A181" t="s">
        <v>58</v>
      </c>
      <c r="B181" t="s">
        <v>577</v>
      </c>
    </row>
    <row r="182" spans="1:2" x14ac:dyDescent="0.3">
      <c r="A182" t="s">
        <v>58</v>
      </c>
      <c r="B182" t="s">
        <v>577</v>
      </c>
    </row>
    <row r="183" spans="1:2" x14ac:dyDescent="0.3">
      <c r="A183" t="s">
        <v>58</v>
      </c>
      <c r="B183" t="s">
        <v>577</v>
      </c>
    </row>
    <row r="184" spans="1:2" x14ac:dyDescent="0.3">
      <c r="A184" t="s">
        <v>58</v>
      </c>
      <c r="B184" t="s">
        <v>577</v>
      </c>
    </row>
    <row r="185" spans="1:2" x14ac:dyDescent="0.3">
      <c r="A185" t="s">
        <v>58</v>
      </c>
      <c r="B185" t="s">
        <v>577</v>
      </c>
    </row>
    <row r="186" spans="1:2" x14ac:dyDescent="0.3">
      <c r="A186" t="s">
        <v>58</v>
      </c>
      <c r="B186" t="s">
        <v>577</v>
      </c>
    </row>
    <row r="187" spans="1:2" x14ac:dyDescent="0.3">
      <c r="A187" t="s">
        <v>58</v>
      </c>
      <c r="B187" t="s">
        <v>577</v>
      </c>
    </row>
    <row r="188" spans="1:2" x14ac:dyDescent="0.3">
      <c r="A188" t="s">
        <v>58</v>
      </c>
      <c r="B188" t="s">
        <v>577</v>
      </c>
    </row>
    <row r="189" spans="1:2" x14ac:dyDescent="0.3">
      <c r="A189" t="s">
        <v>58</v>
      </c>
      <c r="B189" t="s">
        <v>577</v>
      </c>
    </row>
    <row r="190" spans="1:2" x14ac:dyDescent="0.3">
      <c r="A190" t="s">
        <v>58</v>
      </c>
      <c r="B190" t="s">
        <v>577</v>
      </c>
    </row>
    <row r="191" spans="1:2" x14ac:dyDescent="0.3">
      <c r="A191" t="s">
        <v>58</v>
      </c>
      <c r="B191" t="s">
        <v>577</v>
      </c>
    </row>
    <row r="192" spans="1:2" x14ac:dyDescent="0.3">
      <c r="A192" t="s">
        <v>58</v>
      </c>
      <c r="B192" t="s">
        <v>577</v>
      </c>
    </row>
    <row r="193" spans="1:2" x14ac:dyDescent="0.3">
      <c r="A193" t="s">
        <v>58</v>
      </c>
      <c r="B193" t="s">
        <v>577</v>
      </c>
    </row>
    <row r="194" spans="1:2" x14ac:dyDescent="0.3">
      <c r="A194" t="s">
        <v>58</v>
      </c>
      <c r="B194" t="s">
        <v>577</v>
      </c>
    </row>
    <row r="195" spans="1:2" x14ac:dyDescent="0.3">
      <c r="A195" t="s">
        <v>58</v>
      </c>
      <c r="B195" t="s">
        <v>577</v>
      </c>
    </row>
    <row r="196" spans="1:2" x14ac:dyDescent="0.3">
      <c r="A196" t="s">
        <v>58</v>
      </c>
      <c r="B196" t="s">
        <v>577</v>
      </c>
    </row>
    <row r="197" spans="1:2" x14ac:dyDescent="0.3">
      <c r="A197" t="s">
        <v>58</v>
      </c>
      <c r="B197" t="s">
        <v>577</v>
      </c>
    </row>
    <row r="198" spans="1:2" x14ac:dyDescent="0.3">
      <c r="A198" t="s">
        <v>58</v>
      </c>
      <c r="B198" t="s">
        <v>577</v>
      </c>
    </row>
    <row r="199" spans="1:2" x14ac:dyDescent="0.3">
      <c r="A199" t="s">
        <v>58</v>
      </c>
      <c r="B199" t="s">
        <v>577</v>
      </c>
    </row>
    <row r="200" spans="1:2" x14ac:dyDescent="0.3">
      <c r="A200" t="s">
        <v>391</v>
      </c>
    </row>
    <row r="201" spans="1:2" x14ac:dyDescent="0.3">
      <c r="A201" t="s">
        <v>39</v>
      </c>
    </row>
    <row r="202" spans="1:2" x14ac:dyDescent="0.3">
      <c r="A202" t="s">
        <v>39</v>
      </c>
    </row>
    <row r="203" spans="1:2" x14ac:dyDescent="0.3">
      <c r="A203" t="s">
        <v>39</v>
      </c>
    </row>
    <row r="204" spans="1:2" x14ac:dyDescent="0.3">
      <c r="A204" t="s">
        <v>39</v>
      </c>
    </row>
    <row r="205" spans="1:2" x14ac:dyDescent="0.3">
      <c r="A205" t="s">
        <v>39</v>
      </c>
    </row>
    <row r="206" spans="1:2" x14ac:dyDescent="0.3">
      <c r="A206" t="s">
        <v>39</v>
      </c>
    </row>
    <row r="207" spans="1:2" x14ac:dyDescent="0.3">
      <c r="A207" t="s">
        <v>39</v>
      </c>
    </row>
    <row r="208" spans="1:2" x14ac:dyDescent="0.3">
      <c r="A208" t="s">
        <v>39</v>
      </c>
    </row>
    <row r="209" spans="1:1" x14ac:dyDescent="0.3">
      <c r="A209" t="s">
        <v>39</v>
      </c>
    </row>
    <row r="210" spans="1:1" x14ac:dyDescent="0.3">
      <c r="A210" t="s">
        <v>39</v>
      </c>
    </row>
    <row r="211" spans="1:1" x14ac:dyDescent="0.3">
      <c r="A211" t="s">
        <v>39</v>
      </c>
    </row>
    <row r="212" spans="1:1" x14ac:dyDescent="0.3">
      <c r="A212" t="s">
        <v>39</v>
      </c>
    </row>
    <row r="213" spans="1:1" x14ac:dyDescent="0.3">
      <c r="A213" t="s">
        <v>30</v>
      </c>
    </row>
    <row r="214" spans="1:1" x14ac:dyDescent="0.3">
      <c r="A214" t="s">
        <v>30</v>
      </c>
    </row>
    <row r="215" spans="1:1" x14ac:dyDescent="0.3">
      <c r="A215" t="s">
        <v>30</v>
      </c>
    </row>
    <row r="216" spans="1:1" x14ac:dyDescent="0.3">
      <c r="A216" t="s">
        <v>30</v>
      </c>
    </row>
    <row r="217" spans="1:1" x14ac:dyDescent="0.3">
      <c r="A217" t="s">
        <v>30</v>
      </c>
    </row>
    <row r="218" spans="1:1" x14ac:dyDescent="0.3">
      <c r="A218" t="s">
        <v>30</v>
      </c>
    </row>
    <row r="219" spans="1:1" x14ac:dyDescent="0.3">
      <c r="A219" t="s">
        <v>30</v>
      </c>
    </row>
    <row r="220" spans="1:1" x14ac:dyDescent="0.3">
      <c r="A220" t="s">
        <v>30</v>
      </c>
    </row>
    <row r="221" spans="1:1" x14ac:dyDescent="0.3">
      <c r="A221" t="s">
        <v>30</v>
      </c>
    </row>
    <row r="222" spans="1:1" x14ac:dyDescent="0.3">
      <c r="A222" t="s">
        <v>30</v>
      </c>
    </row>
    <row r="223" spans="1:1" x14ac:dyDescent="0.3">
      <c r="A223" t="s">
        <v>30</v>
      </c>
    </row>
    <row r="224" spans="1:1" x14ac:dyDescent="0.3">
      <c r="A224" t="s">
        <v>48</v>
      </c>
    </row>
    <row r="225" spans="1:1" x14ac:dyDescent="0.3">
      <c r="A225" t="s">
        <v>48</v>
      </c>
    </row>
    <row r="226" spans="1:1" x14ac:dyDescent="0.3">
      <c r="A226" t="s">
        <v>48</v>
      </c>
    </row>
    <row r="227" spans="1:1" x14ac:dyDescent="0.3">
      <c r="A227" t="s">
        <v>48</v>
      </c>
    </row>
    <row r="228" spans="1:1" x14ac:dyDescent="0.3">
      <c r="A228" t="s">
        <v>48</v>
      </c>
    </row>
    <row r="229" spans="1:1" x14ac:dyDescent="0.3">
      <c r="A229" t="s">
        <v>48</v>
      </c>
    </row>
    <row r="230" spans="1:1" x14ac:dyDescent="0.3">
      <c r="A230" t="s">
        <v>48</v>
      </c>
    </row>
    <row r="231" spans="1:1" x14ac:dyDescent="0.3">
      <c r="A231" t="s">
        <v>48</v>
      </c>
    </row>
    <row r="232" spans="1:1" x14ac:dyDescent="0.3">
      <c r="A232" t="s">
        <v>48</v>
      </c>
    </row>
    <row r="233" spans="1:1" x14ac:dyDescent="0.3">
      <c r="A233" t="s">
        <v>48</v>
      </c>
    </row>
    <row r="234" spans="1:1" x14ac:dyDescent="0.3">
      <c r="A234" t="s">
        <v>48</v>
      </c>
    </row>
    <row r="235" spans="1:1" x14ac:dyDescent="0.3">
      <c r="A235" t="s">
        <v>48</v>
      </c>
    </row>
    <row r="236" spans="1:1" x14ac:dyDescent="0.3">
      <c r="A236" t="s">
        <v>48</v>
      </c>
    </row>
    <row r="237" spans="1:1" x14ac:dyDescent="0.3">
      <c r="A237" t="s">
        <v>48</v>
      </c>
    </row>
    <row r="238" spans="1:1" x14ac:dyDescent="0.3">
      <c r="A238" t="s">
        <v>48</v>
      </c>
    </row>
    <row r="239" spans="1:1" x14ac:dyDescent="0.3">
      <c r="A239" t="s">
        <v>48</v>
      </c>
    </row>
    <row r="240" spans="1:1" x14ac:dyDescent="0.3">
      <c r="A240" t="s">
        <v>48</v>
      </c>
    </row>
    <row r="241" spans="1:1" x14ac:dyDescent="0.3">
      <c r="A241" t="s">
        <v>48</v>
      </c>
    </row>
    <row r="242" spans="1:1" x14ac:dyDescent="0.3">
      <c r="A242" t="s">
        <v>48</v>
      </c>
    </row>
    <row r="243" spans="1:1" x14ac:dyDescent="0.3">
      <c r="A243" t="s">
        <v>48</v>
      </c>
    </row>
    <row r="244" spans="1:1" x14ac:dyDescent="0.3">
      <c r="A244" t="s">
        <v>48</v>
      </c>
    </row>
    <row r="245" spans="1:1" x14ac:dyDescent="0.3">
      <c r="A245" t="s">
        <v>342</v>
      </c>
    </row>
    <row r="246" spans="1:1" x14ac:dyDescent="0.3">
      <c r="A246" t="s">
        <v>342</v>
      </c>
    </row>
    <row r="247" spans="1:1" x14ac:dyDescent="0.3">
      <c r="A247" t="s">
        <v>342</v>
      </c>
    </row>
    <row r="248" spans="1:1" x14ac:dyDescent="0.3">
      <c r="A248" t="s">
        <v>342</v>
      </c>
    </row>
    <row r="249" spans="1:1" x14ac:dyDescent="0.3">
      <c r="A249" t="s">
        <v>342</v>
      </c>
    </row>
    <row r="250" spans="1:1" x14ac:dyDescent="0.3">
      <c r="A250" t="s">
        <v>342</v>
      </c>
    </row>
    <row r="251" spans="1:1" x14ac:dyDescent="0.3">
      <c r="A251" t="s">
        <v>342</v>
      </c>
    </row>
    <row r="252" spans="1:1" x14ac:dyDescent="0.3">
      <c r="A252" t="s">
        <v>21</v>
      </c>
    </row>
    <row r="253" spans="1:1" x14ac:dyDescent="0.3">
      <c r="A253" t="s">
        <v>21</v>
      </c>
    </row>
    <row r="254" spans="1:1" x14ac:dyDescent="0.3">
      <c r="A254" t="s">
        <v>21</v>
      </c>
    </row>
    <row r="255" spans="1:1" x14ac:dyDescent="0.3">
      <c r="A255" t="s">
        <v>21</v>
      </c>
    </row>
    <row r="256" spans="1:1" x14ac:dyDescent="0.3">
      <c r="A256" t="s">
        <v>21</v>
      </c>
    </row>
    <row r="257" spans="1:2" x14ac:dyDescent="0.3">
      <c r="A257" t="s">
        <v>21</v>
      </c>
    </row>
    <row r="258" spans="1:2" x14ac:dyDescent="0.3">
      <c r="A258" t="s">
        <v>21</v>
      </c>
    </row>
    <row r="259" spans="1:2" x14ac:dyDescent="0.3">
      <c r="A259" t="s">
        <v>21</v>
      </c>
    </row>
    <row r="260" spans="1:2" x14ac:dyDescent="0.3">
      <c r="A260" t="s">
        <v>21</v>
      </c>
    </row>
    <row r="261" spans="1:2" x14ac:dyDescent="0.3">
      <c r="A261" t="s">
        <v>21</v>
      </c>
    </row>
    <row r="262" spans="1:2" x14ac:dyDescent="0.3">
      <c r="A262" t="s">
        <v>21</v>
      </c>
    </row>
    <row r="263" spans="1:2" x14ac:dyDescent="0.3">
      <c r="A263" t="s">
        <v>21</v>
      </c>
    </row>
    <row r="264" spans="1:2" x14ac:dyDescent="0.3">
      <c r="A264" t="s">
        <v>755</v>
      </c>
      <c r="B264" t="s">
        <v>577</v>
      </c>
    </row>
    <row r="265" spans="1:2" x14ac:dyDescent="0.3">
      <c r="A265" t="s">
        <v>754</v>
      </c>
      <c r="B265" t="s">
        <v>577</v>
      </c>
    </row>
    <row r="266" spans="1:2" x14ac:dyDescent="0.3">
      <c r="A266" t="s">
        <v>438</v>
      </c>
      <c r="B266" t="s">
        <v>577</v>
      </c>
    </row>
    <row r="267" spans="1:2" x14ac:dyDescent="0.3">
      <c r="A267" t="s">
        <v>438</v>
      </c>
      <c r="B267" t="s">
        <v>577</v>
      </c>
    </row>
    <row r="268" spans="1:2" x14ac:dyDescent="0.3">
      <c r="A268" t="s">
        <v>438</v>
      </c>
      <c r="B268" t="s">
        <v>577</v>
      </c>
    </row>
    <row r="269" spans="1:2" x14ac:dyDescent="0.3">
      <c r="A269" t="s">
        <v>438</v>
      </c>
      <c r="B269" t="s">
        <v>577</v>
      </c>
    </row>
    <row r="270" spans="1:2" x14ac:dyDescent="0.3">
      <c r="A270" t="s">
        <v>438</v>
      </c>
      <c r="B270" t="s">
        <v>577</v>
      </c>
    </row>
    <row r="271" spans="1:2" x14ac:dyDescent="0.3">
      <c r="A271" t="s">
        <v>438</v>
      </c>
      <c r="B271" t="s">
        <v>577</v>
      </c>
    </row>
    <row r="272" spans="1:2" x14ac:dyDescent="0.3">
      <c r="A272" t="s">
        <v>438</v>
      </c>
      <c r="B272" t="s">
        <v>577</v>
      </c>
    </row>
    <row r="273" spans="1:2" x14ac:dyDescent="0.3">
      <c r="A273" t="s">
        <v>438</v>
      </c>
      <c r="B273" t="s">
        <v>577</v>
      </c>
    </row>
    <row r="274" spans="1:2" x14ac:dyDescent="0.3">
      <c r="A274" t="s">
        <v>438</v>
      </c>
      <c r="B274" t="s">
        <v>577</v>
      </c>
    </row>
    <row r="275" spans="1:2" x14ac:dyDescent="0.3">
      <c r="A275" t="s">
        <v>319</v>
      </c>
      <c r="B275" t="s">
        <v>769</v>
      </c>
    </row>
    <row r="276" spans="1:2" x14ac:dyDescent="0.3">
      <c r="A276" t="s">
        <v>319</v>
      </c>
      <c r="B276" t="s">
        <v>577</v>
      </c>
    </row>
    <row r="277" spans="1:2" x14ac:dyDescent="0.3">
      <c r="A277" t="s">
        <v>319</v>
      </c>
      <c r="B277" t="s">
        <v>577</v>
      </c>
    </row>
    <row r="278" spans="1:2" x14ac:dyDescent="0.3">
      <c r="A278" t="s">
        <v>319</v>
      </c>
      <c r="B278" t="s">
        <v>577</v>
      </c>
    </row>
    <row r="279" spans="1:2" x14ac:dyDescent="0.3">
      <c r="A279" t="s">
        <v>319</v>
      </c>
      <c r="B279" t="s">
        <v>577</v>
      </c>
    </row>
    <row r="280" spans="1:2" x14ac:dyDescent="0.3">
      <c r="A280" t="s">
        <v>319</v>
      </c>
      <c r="B280" t="s">
        <v>577</v>
      </c>
    </row>
    <row r="281" spans="1:2" x14ac:dyDescent="0.3">
      <c r="A281" t="s">
        <v>319</v>
      </c>
      <c r="B281" t="s">
        <v>577</v>
      </c>
    </row>
    <row r="282" spans="1:2" x14ac:dyDescent="0.3">
      <c r="A282" t="s">
        <v>13</v>
      </c>
    </row>
    <row r="283" spans="1:2" x14ac:dyDescent="0.3">
      <c r="A283" t="s">
        <v>40</v>
      </c>
    </row>
    <row r="284" spans="1:2" x14ac:dyDescent="0.3">
      <c r="A284" t="s">
        <v>40</v>
      </c>
    </row>
    <row r="285" spans="1:2" x14ac:dyDescent="0.3">
      <c r="A285" t="s">
        <v>40</v>
      </c>
    </row>
    <row r="286" spans="1:2" x14ac:dyDescent="0.3">
      <c r="A286" t="s">
        <v>40</v>
      </c>
    </row>
    <row r="287" spans="1:2" x14ac:dyDescent="0.3">
      <c r="A287" t="s">
        <v>40</v>
      </c>
    </row>
    <row r="288" spans="1:2" x14ac:dyDescent="0.3">
      <c r="A288" t="s">
        <v>40</v>
      </c>
    </row>
    <row r="289" spans="1:2" x14ac:dyDescent="0.3">
      <c r="A289" t="s">
        <v>3</v>
      </c>
    </row>
    <row r="290" spans="1:2" x14ac:dyDescent="0.3">
      <c r="A290" t="s">
        <v>3</v>
      </c>
    </row>
    <row r="291" spans="1:2" x14ac:dyDescent="0.3">
      <c r="A291" t="s">
        <v>6</v>
      </c>
      <c r="B291" t="s">
        <v>577</v>
      </c>
    </row>
    <row r="292" spans="1:2" x14ac:dyDescent="0.3">
      <c r="A292" t="s">
        <v>6</v>
      </c>
      <c r="B292" t="s">
        <v>577</v>
      </c>
    </row>
    <row r="293" spans="1:2" x14ac:dyDescent="0.3">
      <c r="A293" t="s">
        <v>6</v>
      </c>
      <c r="B293" t="s">
        <v>577</v>
      </c>
    </row>
    <row r="294" spans="1:2" x14ac:dyDescent="0.3">
      <c r="A294" t="s">
        <v>6</v>
      </c>
      <c r="B294" t="s">
        <v>577</v>
      </c>
    </row>
    <row r="295" spans="1:2" x14ac:dyDescent="0.3">
      <c r="A295" t="s">
        <v>749</v>
      </c>
      <c r="B295" t="s">
        <v>577</v>
      </c>
    </row>
    <row r="296" spans="1:2" x14ac:dyDescent="0.3">
      <c r="A296" t="s">
        <v>749</v>
      </c>
      <c r="B296" t="s">
        <v>577</v>
      </c>
    </row>
    <row r="297" spans="1:2" x14ac:dyDescent="0.3">
      <c r="A297" t="s">
        <v>749</v>
      </c>
      <c r="B297" t="s">
        <v>577</v>
      </c>
    </row>
    <row r="298" spans="1:2" x14ac:dyDescent="0.3">
      <c r="A298" t="s">
        <v>770</v>
      </c>
    </row>
    <row r="299" spans="1:2" x14ac:dyDescent="0.3">
      <c r="A299" t="s">
        <v>770</v>
      </c>
    </row>
    <row r="300" spans="1:2" x14ac:dyDescent="0.3">
      <c r="A300" t="s">
        <v>770</v>
      </c>
    </row>
    <row r="301" spans="1:2" x14ac:dyDescent="0.3">
      <c r="A301" t="s">
        <v>770</v>
      </c>
    </row>
    <row r="302" spans="1:2" x14ac:dyDescent="0.3">
      <c r="A302" t="s">
        <v>770</v>
      </c>
    </row>
    <row r="303" spans="1:2" x14ac:dyDescent="0.3">
      <c r="A303" t="s">
        <v>771</v>
      </c>
    </row>
    <row r="304" spans="1:2" x14ac:dyDescent="0.3">
      <c r="A304" t="s">
        <v>771</v>
      </c>
    </row>
    <row r="305" spans="1:2" x14ac:dyDescent="0.3">
      <c r="A305" t="s">
        <v>771</v>
      </c>
    </row>
    <row r="306" spans="1:2" x14ac:dyDescent="0.3">
      <c r="A306" t="s">
        <v>771</v>
      </c>
    </row>
    <row r="307" spans="1:2" x14ac:dyDescent="0.3">
      <c r="A307" t="s">
        <v>771</v>
      </c>
    </row>
    <row r="308" spans="1:2" x14ac:dyDescent="0.3">
      <c r="A308" t="s">
        <v>771</v>
      </c>
    </row>
    <row r="309" spans="1:2" x14ac:dyDescent="0.3">
      <c r="A309" t="s">
        <v>771</v>
      </c>
    </row>
    <row r="310" spans="1:2" x14ac:dyDescent="0.3">
      <c r="A310" t="s">
        <v>771</v>
      </c>
    </row>
    <row r="311" spans="1:2" x14ac:dyDescent="0.3">
      <c r="A311" t="s">
        <v>771</v>
      </c>
    </row>
    <row r="312" spans="1:2" x14ac:dyDescent="0.3">
      <c r="A312" t="s">
        <v>771</v>
      </c>
    </row>
    <row r="313" spans="1:2" x14ac:dyDescent="0.3">
      <c r="A313" t="s">
        <v>750</v>
      </c>
      <c r="B313" t="s">
        <v>577</v>
      </c>
    </row>
    <row r="314" spans="1:2" x14ac:dyDescent="0.3">
      <c r="A314" t="s">
        <v>750</v>
      </c>
      <c r="B314" t="s">
        <v>577</v>
      </c>
    </row>
    <row r="315" spans="1:2" x14ac:dyDescent="0.3">
      <c r="A315" t="s">
        <v>750</v>
      </c>
      <c r="B315" t="s">
        <v>577</v>
      </c>
    </row>
    <row r="316" spans="1:2" x14ac:dyDescent="0.3">
      <c r="A316" t="s">
        <v>750</v>
      </c>
      <c r="B316" t="s">
        <v>577</v>
      </c>
    </row>
    <row r="317" spans="1:2" x14ac:dyDescent="0.3">
      <c r="A317" t="s">
        <v>750</v>
      </c>
      <c r="B317" t="s">
        <v>577</v>
      </c>
    </row>
    <row r="318" spans="1:2" x14ac:dyDescent="0.3">
      <c r="A318" t="s">
        <v>750</v>
      </c>
      <c r="B318" t="s">
        <v>577</v>
      </c>
    </row>
    <row r="319" spans="1:2" x14ac:dyDescent="0.3">
      <c r="A319" t="s">
        <v>18</v>
      </c>
    </row>
    <row r="320" spans="1:2" x14ac:dyDescent="0.3">
      <c r="A320" t="s">
        <v>18</v>
      </c>
    </row>
    <row r="321" spans="1:1" x14ac:dyDescent="0.3">
      <c r="A321" t="s">
        <v>18</v>
      </c>
    </row>
    <row r="322" spans="1:1" x14ac:dyDescent="0.3">
      <c r="A322" t="s">
        <v>18</v>
      </c>
    </row>
    <row r="323" spans="1:1" x14ac:dyDescent="0.3">
      <c r="A323" t="s">
        <v>16</v>
      </c>
    </row>
    <row r="324" spans="1:1" x14ac:dyDescent="0.3">
      <c r="A324" t="s">
        <v>16</v>
      </c>
    </row>
    <row r="325" spans="1:1" x14ac:dyDescent="0.3">
      <c r="A325" t="s">
        <v>16</v>
      </c>
    </row>
    <row r="326" spans="1:1" x14ac:dyDescent="0.3">
      <c r="A326" t="s">
        <v>16</v>
      </c>
    </row>
    <row r="327" spans="1:1" x14ac:dyDescent="0.3">
      <c r="A327" t="s">
        <v>16</v>
      </c>
    </row>
    <row r="328" spans="1:1" x14ac:dyDescent="0.3">
      <c r="A328" t="s">
        <v>16</v>
      </c>
    </row>
    <row r="329" spans="1:1" x14ac:dyDescent="0.3">
      <c r="A329" t="s">
        <v>16</v>
      </c>
    </row>
    <row r="330" spans="1:1" x14ac:dyDescent="0.3">
      <c r="A330" t="s">
        <v>16</v>
      </c>
    </row>
    <row r="331" spans="1:1" x14ac:dyDescent="0.3">
      <c r="A331" t="s">
        <v>16</v>
      </c>
    </row>
    <row r="332" spans="1:1" x14ac:dyDescent="0.3">
      <c r="A332" t="s">
        <v>16</v>
      </c>
    </row>
    <row r="333" spans="1:1" x14ac:dyDescent="0.3">
      <c r="A333" t="s">
        <v>16</v>
      </c>
    </row>
    <row r="334" spans="1:1" x14ac:dyDescent="0.3">
      <c r="A334" t="s">
        <v>16</v>
      </c>
    </row>
    <row r="335" spans="1:1" x14ac:dyDescent="0.3">
      <c r="A335" t="s">
        <v>16</v>
      </c>
    </row>
    <row r="336" spans="1:1" x14ac:dyDescent="0.3">
      <c r="A336" t="s">
        <v>17</v>
      </c>
    </row>
    <row r="337" spans="1:1" x14ac:dyDescent="0.3">
      <c r="A337" t="s">
        <v>17</v>
      </c>
    </row>
    <row r="338" spans="1:1" x14ac:dyDescent="0.3">
      <c r="A338" t="s">
        <v>17</v>
      </c>
    </row>
    <row r="339" spans="1:1" x14ac:dyDescent="0.3">
      <c r="A339" t="s">
        <v>17</v>
      </c>
    </row>
    <row r="340" spans="1:1" x14ac:dyDescent="0.3">
      <c r="A340" t="s">
        <v>19</v>
      </c>
    </row>
    <row r="341" spans="1:1" x14ac:dyDescent="0.3">
      <c r="A341" t="s">
        <v>19</v>
      </c>
    </row>
    <row r="342" spans="1:1" x14ac:dyDescent="0.3">
      <c r="A342" t="s">
        <v>19</v>
      </c>
    </row>
    <row r="343" spans="1:1" x14ac:dyDescent="0.3">
      <c r="A343" t="s">
        <v>19</v>
      </c>
    </row>
    <row r="344" spans="1:1" x14ac:dyDescent="0.3">
      <c r="A344" t="s">
        <v>19</v>
      </c>
    </row>
    <row r="345" spans="1:1" x14ac:dyDescent="0.3">
      <c r="A345" t="s">
        <v>19</v>
      </c>
    </row>
    <row r="346" spans="1:1" x14ac:dyDescent="0.3">
      <c r="A346" t="s">
        <v>19</v>
      </c>
    </row>
    <row r="347" spans="1:1" x14ac:dyDescent="0.3">
      <c r="A347" t="s">
        <v>19</v>
      </c>
    </row>
    <row r="348" spans="1:1" x14ac:dyDescent="0.3">
      <c r="A348" t="s">
        <v>19</v>
      </c>
    </row>
    <row r="349" spans="1:1" x14ac:dyDescent="0.3">
      <c r="A349" t="s">
        <v>19</v>
      </c>
    </row>
    <row r="350" spans="1:1" x14ac:dyDescent="0.3">
      <c r="A350" t="s">
        <v>19</v>
      </c>
    </row>
    <row r="351" spans="1:1" x14ac:dyDescent="0.3">
      <c r="A351" t="s">
        <v>19</v>
      </c>
    </row>
    <row r="352" spans="1:1" x14ac:dyDescent="0.3">
      <c r="A352" t="s">
        <v>19</v>
      </c>
    </row>
    <row r="353" spans="1:2" x14ac:dyDescent="0.3">
      <c r="A353" t="s">
        <v>450</v>
      </c>
    </row>
    <row r="354" spans="1:2" x14ac:dyDescent="0.3">
      <c r="A354" t="s">
        <v>450</v>
      </c>
    </row>
    <row r="355" spans="1:2" x14ac:dyDescent="0.3">
      <c r="A355" t="s">
        <v>450</v>
      </c>
    </row>
    <row r="356" spans="1:2" x14ac:dyDescent="0.3">
      <c r="A356" t="s">
        <v>450</v>
      </c>
    </row>
    <row r="357" spans="1:2" x14ac:dyDescent="0.3">
      <c r="A357" t="s">
        <v>450</v>
      </c>
    </row>
    <row r="358" spans="1:2" x14ac:dyDescent="0.3">
      <c r="A358" t="s">
        <v>450</v>
      </c>
    </row>
    <row r="359" spans="1:2" x14ac:dyDescent="0.3">
      <c r="A359" t="s">
        <v>284</v>
      </c>
    </row>
    <row r="360" spans="1:2" x14ac:dyDescent="0.3">
      <c r="A360" t="s">
        <v>284</v>
      </c>
    </row>
    <row r="361" spans="1:2" x14ac:dyDescent="0.3">
      <c r="A361" t="s">
        <v>284</v>
      </c>
    </row>
    <row r="362" spans="1:2" x14ac:dyDescent="0.3">
      <c r="A362" t="s">
        <v>284</v>
      </c>
    </row>
    <row r="363" spans="1:2" x14ac:dyDescent="0.3">
      <c r="A363" t="s">
        <v>284</v>
      </c>
    </row>
    <row r="364" spans="1:2" x14ac:dyDescent="0.3">
      <c r="A364" t="s">
        <v>284</v>
      </c>
    </row>
    <row r="365" spans="1:2" x14ac:dyDescent="0.3">
      <c r="A365" t="s">
        <v>11</v>
      </c>
      <c r="B365" t="s">
        <v>577</v>
      </c>
    </row>
    <row r="366" spans="1:2" x14ac:dyDescent="0.3">
      <c r="A366" t="s">
        <v>11</v>
      </c>
      <c r="B366" t="s">
        <v>577</v>
      </c>
    </row>
    <row r="367" spans="1:2" x14ac:dyDescent="0.3">
      <c r="A367" t="s">
        <v>11</v>
      </c>
      <c r="B367" t="s">
        <v>577</v>
      </c>
    </row>
    <row r="368" spans="1:2" x14ac:dyDescent="0.3">
      <c r="A368" t="s">
        <v>11</v>
      </c>
      <c r="B368" t="s">
        <v>577</v>
      </c>
    </row>
    <row r="369" spans="1:2" x14ac:dyDescent="0.3">
      <c r="A369" t="s">
        <v>11</v>
      </c>
      <c r="B369" t="s">
        <v>577</v>
      </c>
    </row>
    <row r="370" spans="1:2" x14ac:dyDescent="0.3">
      <c r="A370" t="s">
        <v>537</v>
      </c>
    </row>
    <row r="371" spans="1:2" x14ac:dyDescent="0.3">
      <c r="A371" t="s">
        <v>20</v>
      </c>
    </row>
    <row r="372" spans="1:2" x14ac:dyDescent="0.3">
      <c r="A372" t="s">
        <v>20</v>
      </c>
    </row>
    <row r="373" spans="1:2" x14ac:dyDescent="0.3">
      <c r="A373" t="s">
        <v>20</v>
      </c>
    </row>
    <row r="374" spans="1:2" x14ac:dyDescent="0.3">
      <c r="A374" t="s">
        <v>20</v>
      </c>
    </row>
    <row r="375" spans="1:2" x14ac:dyDescent="0.3">
      <c r="A375" t="s">
        <v>20</v>
      </c>
    </row>
    <row r="376" spans="1:2" x14ac:dyDescent="0.3">
      <c r="A376" t="s">
        <v>20</v>
      </c>
    </row>
    <row r="377" spans="1:2" x14ac:dyDescent="0.3">
      <c r="A377" t="s">
        <v>20</v>
      </c>
    </row>
    <row r="378" spans="1:2" x14ac:dyDescent="0.3">
      <c r="A378" t="s">
        <v>20</v>
      </c>
    </row>
    <row r="379" spans="1:2" x14ac:dyDescent="0.3">
      <c r="A379" t="s">
        <v>20</v>
      </c>
    </row>
    <row r="380" spans="1:2" x14ac:dyDescent="0.3">
      <c r="A380" t="s">
        <v>20</v>
      </c>
    </row>
    <row r="381" spans="1:2" x14ac:dyDescent="0.3">
      <c r="A381" t="s">
        <v>20</v>
      </c>
    </row>
    <row r="382" spans="1:2" x14ac:dyDescent="0.3">
      <c r="A382" t="s">
        <v>32</v>
      </c>
    </row>
    <row r="383" spans="1:2" x14ac:dyDescent="0.3">
      <c r="A383" t="s">
        <v>32</v>
      </c>
    </row>
    <row r="384" spans="1:2" x14ac:dyDescent="0.3">
      <c r="A384" t="s">
        <v>32</v>
      </c>
    </row>
    <row r="385" spans="1:1" x14ac:dyDescent="0.3">
      <c r="A385" t="s">
        <v>32</v>
      </c>
    </row>
    <row r="386" spans="1:1" x14ac:dyDescent="0.3">
      <c r="A386" t="s">
        <v>32</v>
      </c>
    </row>
    <row r="387" spans="1:1" x14ac:dyDescent="0.3">
      <c r="A387" t="s">
        <v>14</v>
      </c>
    </row>
    <row r="388" spans="1:1" x14ac:dyDescent="0.3">
      <c r="A388" t="s">
        <v>14</v>
      </c>
    </row>
    <row r="389" spans="1:1" x14ac:dyDescent="0.3">
      <c r="A389" t="s">
        <v>46</v>
      </c>
    </row>
    <row r="390" spans="1:1" x14ac:dyDescent="0.3">
      <c r="A390" t="s">
        <v>46</v>
      </c>
    </row>
    <row r="391" spans="1:1" x14ac:dyDescent="0.3">
      <c r="A391" t="s">
        <v>46</v>
      </c>
    </row>
    <row r="392" spans="1:1" x14ac:dyDescent="0.3">
      <c r="A392" t="s">
        <v>46</v>
      </c>
    </row>
    <row r="393" spans="1:1" x14ac:dyDescent="0.3">
      <c r="A393" t="s">
        <v>46</v>
      </c>
    </row>
    <row r="394" spans="1:1" x14ac:dyDescent="0.3">
      <c r="A394" t="s">
        <v>46</v>
      </c>
    </row>
    <row r="395" spans="1:1" x14ac:dyDescent="0.3">
      <c r="A395" t="s">
        <v>46</v>
      </c>
    </row>
    <row r="396" spans="1:1" x14ac:dyDescent="0.3">
      <c r="A396" t="s">
        <v>46</v>
      </c>
    </row>
    <row r="397" spans="1:1" x14ac:dyDescent="0.3">
      <c r="A397" t="s">
        <v>46</v>
      </c>
    </row>
    <row r="398" spans="1:1" x14ac:dyDescent="0.3">
      <c r="A398" t="s">
        <v>46</v>
      </c>
    </row>
    <row r="399" spans="1:1" x14ac:dyDescent="0.3">
      <c r="A399" t="s">
        <v>46</v>
      </c>
    </row>
    <row r="400" spans="1:1" x14ac:dyDescent="0.3">
      <c r="A400" t="s">
        <v>46</v>
      </c>
    </row>
    <row r="401" spans="1:1" x14ac:dyDescent="0.3">
      <c r="A401" t="s">
        <v>46</v>
      </c>
    </row>
    <row r="402" spans="1:1" x14ac:dyDescent="0.3">
      <c r="A402" t="s">
        <v>26</v>
      </c>
    </row>
    <row r="403" spans="1:1" x14ac:dyDescent="0.3">
      <c r="A403" t="s">
        <v>26</v>
      </c>
    </row>
    <row r="404" spans="1:1" x14ac:dyDescent="0.3">
      <c r="A404" t="s">
        <v>26</v>
      </c>
    </row>
    <row r="405" spans="1:1" x14ac:dyDescent="0.3">
      <c r="A405" t="s">
        <v>26</v>
      </c>
    </row>
    <row r="406" spans="1:1" x14ac:dyDescent="0.3">
      <c r="A406" t="s">
        <v>26</v>
      </c>
    </row>
    <row r="407" spans="1:1" x14ac:dyDescent="0.3">
      <c r="A407" t="s">
        <v>26</v>
      </c>
    </row>
    <row r="408" spans="1:1" x14ac:dyDescent="0.3">
      <c r="A408" t="s">
        <v>26</v>
      </c>
    </row>
    <row r="409" spans="1:1" x14ac:dyDescent="0.3">
      <c r="A409" t="s">
        <v>26</v>
      </c>
    </row>
    <row r="410" spans="1:1" x14ac:dyDescent="0.3">
      <c r="A410" t="s">
        <v>26</v>
      </c>
    </row>
    <row r="411" spans="1:1" x14ac:dyDescent="0.3">
      <c r="A411" t="s">
        <v>26</v>
      </c>
    </row>
    <row r="412" spans="1:1" x14ac:dyDescent="0.3">
      <c r="A412" t="s">
        <v>26</v>
      </c>
    </row>
    <row r="413" spans="1:1" x14ac:dyDescent="0.3">
      <c r="A413" t="s">
        <v>26</v>
      </c>
    </row>
    <row r="414" spans="1:1" x14ac:dyDescent="0.3">
      <c r="A414" t="s">
        <v>27</v>
      </c>
    </row>
    <row r="415" spans="1:1" x14ac:dyDescent="0.3">
      <c r="A415" t="s">
        <v>27</v>
      </c>
    </row>
    <row r="416" spans="1:1" x14ac:dyDescent="0.3">
      <c r="A416" t="s">
        <v>28</v>
      </c>
    </row>
    <row r="417" spans="1:2" x14ac:dyDescent="0.3">
      <c r="A417" t="s">
        <v>28</v>
      </c>
    </row>
    <row r="418" spans="1:2" x14ac:dyDescent="0.3">
      <c r="A418" t="s">
        <v>28</v>
      </c>
    </row>
    <row r="419" spans="1:2" x14ac:dyDescent="0.3">
      <c r="A419" t="s">
        <v>28</v>
      </c>
    </row>
    <row r="420" spans="1:2" x14ac:dyDescent="0.3">
      <c r="A420" t="s">
        <v>28</v>
      </c>
    </row>
    <row r="421" spans="1:2" x14ac:dyDescent="0.3">
      <c r="A421" t="s">
        <v>28</v>
      </c>
    </row>
    <row r="422" spans="1:2" x14ac:dyDescent="0.3">
      <c r="A422" t="s">
        <v>28</v>
      </c>
    </row>
    <row r="423" spans="1:2" x14ac:dyDescent="0.3">
      <c r="A423" t="s">
        <v>28</v>
      </c>
    </row>
    <row r="424" spans="1:2" x14ac:dyDescent="0.3">
      <c r="A424" t="s">
        <v>751</v>
      </c>
      <c r="B424" t="s">
        <v>577</v>
      </c>
    </row>
    <row r="425" spans="1:2" x14ac:dyDescent="0.3">
      <c r="A425" t="s">
        <v>751</v>
      </c>
      <c r="B425" t="s">
        <v>577</v>
      </c>
    </row>
    <row r="426" spans="1:2" x14ac:dyDescent="0.3">
      <c r="A426" t="s">
        <v>751</v>
      </c>
      <c r="B426" t="s">
        <v>577</v>
      </c>
    </row>
    <row r="427" spans="1:2" x14ac:dyDescent="0.3">
      <c r="A427" t="s">
        <v>752</v>
      </c>
      <c r="B427" t="s">
        <v>577</v>
      </c>
    </row>
    <row r="428" spans="1:2" x14ac:dyDescent="0.3">
      <c r="A428" t="s">
        <v>752</v>
      </c>
      <c r="B428" t="s">
        <v>577</v>
      </c>
    </row>
    <row r="429" spans="1:2" x14ac:dyDescent="0.3">
      <c r="A429" t="s">
        <v>752</v>
      </c>
      <c r="B429" t="s">
        <v>577</v>
      </c>
    </row>
    <row r="430" spans="1:2" x14ac:dyDescent="0.3">
      <c r="A430" t="s">
        <v>753</v>
      </c>
      <c r="B430" t="s">
        <v>577</v>
      </c>
    </row>
    <row r="431" spans="1:2" x14ac:dyDescent="0.3">
      <c r="A431" t="s">
        <v>753</v>
      </c>
      <c r="B431" t="s">
        <v>577</v>
      </c>
    </row>
    <row r="432" spans="1:2" x14ac:dyDescent="0.3">
      <c r="A432" t="s">
        <v>753</v>
      </c>
      <c r="B432" t="s">
        <v>577</v>
      </c>
    </row>
    <row r="433" spans="1:2" x14ac:dyDescent="0.3">
      <c r="A433" t="s">
        <v>753</v>
      </c>
      <c r="B433" t="s">
        <v>577</v>
      </c>
    </row>
    <row r="434" spans="1:2" x14ac:dyDescent="0.3">
      <c r="A434" t="s">
        <v>34</v>
      </c>
    </row>
    <row r="435" spans="1:2" x14ac:dyDescent="0.3">
      <c r="A435" t="s">
        <v>34</v>
      </c>
    </row>
    <row r="436" spans="1:2" x14ac:dyDescent="0.3">
      <c r="A436" t="s">
        <v>34</v>
      </c>
    </row>
    <row r="437" spans="1:2" x14ac:dyDescent="0.3">
      <c r="A437" t="s">
        <v>34</v>
      </c>
    </row>
    <row r="438" spans="1:2" x14ac:dyDescent="0.3">
      <c r="A438" t="s">
        <v>34</v>
      </c>
    </row>
    <row r="439" spans="1:2" x14ac:dyDescent="0.3">
      <c r="A439" t="s">
        <v>7</v>
      </c>
      <c r="B439" t="s">
        <v>577</v>
      </c>
    </row>
    <row r="440" spans="1:2" x14ac:dyDescent="0.3">
      <c r="A440" t="s">
        <v>7</v>
      </c>
      <c r="B440" t="s">
        <v>577</v>
      </c>
    </row>
    <row r="441" spans="1:2" x14ac:dyDescent="0.3">
      <c r="A441" t="s">
        <v>7</v>
      </c>
      <c r="B441" t="s">
        <v>577</v>
      </c>
    </row>
    <row r="442" spans="1:2" x14ac:dyDescent="0.3">
      <c r="A442" t="s">
        <v>7</v>
      </c>
      <c r="B442" t="s">
        <v>577</v>
      </c>
    </row>
    <row r="443" spans="1:2" x14ac:dyDescent="0.3">
      <c r="A443" t="s">
        <v>291</v>
      </c>
      <c r="B443" t="s">
        <v>577</v>
      </c>
    </row>
    <row r="444" spans="1:2" x14ac:dyDescent="0.3">
      <c r="A444" t="s">
        <v>291</v>
      </c>
      <c r="B444" t="s">
        <v>577</v>
      </c>
    </row>
    <row r="445" spans="1:2" x14ac:dyDescent="0.3">
      <c r="A445" t="s">
        <v>291</v>
      </c>
      <c r="B445" t="s">
        <v>577</v>
      </c>
    </row>
    <row r="446" spans="1:2" x14ac:dyDescent="0.3">
      <c r="A446" t="s">
        <v>291</v>
      </c>
      <c r="B446" t="s">
        <v>577</v>
      </c>
    </row>
    <row r="447" spans="1:2" x14ac:dyDescent="0.3">
      <c r="A447" t="s">
        <v>42</v>
      </c>
      <c r="B447" t="s">
        <v>577</v>
      </c>
    </row>
    <row r="448" spans="1:2" x14ac:dyDescent="0.3">
      <c r="A448" t="s">
        <v>42</v>
      </c>
      <c r="B448" t="s">
        <v>577</v>
      </c>
    </row>
    <row r="449" spans="1:2" x14ac:dyDescent="0.3">
      <c r="A449" t="s">
        <v>42</v>
      </c>
      <c r="B449" t="s">
        <v>577</v>
      </c>
    </row>
    <row r="450" spans="1:2" x14ac:dyDescent="0.3">
      <c r="A450" t="s">
        <v>42</v>
      </c>
      <c r="B450" t="s">
        <v>577</v>
      </c>
    </row>
    <row r="451" spans="1:2" x14ac:dyDescent="0.3">
      <c r="A451" t="s">
        <v>756</v>
      </c>
      <c r="B451" t="s">
        <v>577</v>
      </c>
    </row>
    <row r="452" spans="1:2" x14ac:dyDescent="0.3">
      <c r="A452" t="s">
        <v>756</v>
      </c>
      <c r="B452" t="s">
        <v>577</v>
      </c>
    </row>
    <row r="453" spans="1:2" x14ac:dyDescent="0.3">
      <c r="A453" t="s">
        <v>756</v>
      </c>
      <c r="B453" t="s">
        <v>577</v>
      </c>
    </row>
    <row r="454" spans="1:2" x14ac:dyDescent="0.3">
      <c r="A454" t="s">
        <v>756</v>
      </c>
      <c r="B454" t="s">
        <v>577</v>
      </c>
    </row>
    <row r="455" spans="1:2" x14ac:dyDescent="0.3">
      <c r="A455" t="s">
        <v>756</v>
      </c>
      <c r="B455" t="s">
        <v>577</v>
      </c>
    </row>
    <row r="456" spans="1:2" x14ac:dyDescent="0.3">
      <c r="A456" t="s">
        <v>756</v>
      </c>
      <c r="B456" t="s">
        <v>577</v>
      </c>
    </row>
    <row r="457" spans="1:2" x14ac:dyDescent="0.3">
      <c r="A457" t="s">
        <v>756</v>
      </c>
      <c r="B457" t="s">
        <v>577</v>
      </c>
    </row>
    <row r="458" spans="1:2" x14ac:dyDescent="0.3">
      <c r="A458" t="s">
        <v>756</v>
      </c>
      <c r="B458" t="s">
        <v>577</v>
      </c>
    </row>
    <row r="459" spans="1:2" x14ac:dyDescent="0.3">
      <c r="A459" t="s">
        <v>756</v>
      </c>
      <c r="B459" t="s">
        <v>577</v>
      </c>
    </row>
    <row r="460" spans="1:2" x14ac:dyDescent="0.3">
      <c r="A460" t="s">
        <v>756</v>
      </c>
      <c r="B460" t="s">
        <v>577</v>
      </c>
    </row>
    <row r="461" spans="1:2" x14ac:dyDescent="0.3">
      <c r="A461" t="s">
        <v>756</v>
      </c>
      <c r="B461" t="s">
        <v>577</v>
      </c>
    </row>
    <row r="462" spans="1:2" x14ac:dyDescent="0.3">
      <c r="A462" t="s">
        <v>33</v>
      </c>
    </row>
    <row r="463" spans="1:2" x14ac:dyDescent="0.3">
      <c r="A463" t="s">
        <v>33</v>
      </c>
    </row>
    <row r="464" spans="1:2" x14ac:dyDescent="0.3">
      <c r="A464" t="s">
        <v>33</v>
      </c>
    </row>
    <row r="465" spans="1:2" x14ac:dyDescent="0.3">
      <c r="A465" t="s">
        <v>33</v>
      </c>
    </row>
    <row r="466" spans="1:2" x14ac:dyDescent="0.3">
      <c r="A466" t="s">
        <v>33</v>
      </c>
    </row>
    <row r="467" spans="1:2" x14ac:dyDescent="0.3">
      <c r="A467" t="s">
        <v>33</v>
      </c>
    </row>
    <row r="468" spans="1:2" x14ac:dyDescent="0.3">
      <c r="A468" t="s">
        <v>33</v>
      </c>
    </row>
    <row r="469" spans="1:2" x14ac:dyDescent="0.3">
      <c r="A469" t="s">
        <v>33</v>
      </c>
    </row>
    <row r="470" spans="1:2" x14ac:dyDescent="0.3">
      <c r="A470" t="s">
        <v>33</v>
      </c>
    </row>
    <row r="471" spans="1:2" x14ac:dyDescent="0.3">
      <c r="A471" t="s">
        <v>33</v>
      </c>
    </row>
    <row r="472" spans="1:2" x14ac:dyDescent="0.3">
      <c r="A472" t="s">
        <v>772</v>
      </c>
      <c r="B472" t="s">
        <v>577</v>
      </c>
    </row>
    <row r="473" spans="1:2" x14ac:dyDescent="0.3">
      <c r="A473" t="s">
        <v>772</v>
      </c>
      <c r="B473" t="s">
        <v>577</v>
      </c>
    </row>
    <row r="474" spans="1:2" x14ac:dyDescent="0.3">
      <c r="A474" t="s">
        <v>772</v>
      </c>
      <c r="B474" t="s">
        <v>577</v>
      </c>
    </row>
    <row r="475" spans="1:2" x14ac:dyDescent="0.3">
      <c r="A475" t="s">
        <v>772</v>
      </c>
      <c r="B475" t="s">
        <v>577</v>
      </c>
    </row>
    <row r="476" spans="1:2" x14ac:dyDescent="0.3">
      <c r="A476" t="s">
        <v>772</v>
      </c>
      <c r="B476" t="s">
        <v>577</v>
      </c>
    </row>
    <row r="477" spans="1:2" x14ac:dyDescent="0.3">
      <c r="A477" t="s">
        <v>772</v>
      </c>
      <c r="B477" t="s">
        <v>577</v>
      </c>
    </row>
    <row r="478" spans="1:2" x14ac:dyDescent="0.3">
      <c r="A478" t="s">
        <v>772</v>
      </c>
      <c r="B478" t="s">
        <v>577</v>
      </c>
    </row>
    <row r="479" spans="1:2" x14ac:dyDescent="0.3">
      <c r="A479" t="s">
        <v>772</v>
      </c>
      <c r="B479" t="s">
        <v>577</v>
      </c>
    </row>
    <row r="480" spans="1:2" x14ac:dyDescent="0.3">
      <c r="A480" t="s">
        <v>772</v>
      </c>
      <c r="B480" t="s">
        <v>577</v>
      </c>
    </row>
    <row r="481" spans="1:2" x14ac:dyDescent="0.3">
      <c r="A481" t="s">
        <v>772</v>
      </c>
      <c r="B481" t="s">
        <v>577</v>
      </c>
    </row>
    <row r="482" spans="1:2" x14ac:dyDescent="0.3">
      <c r="A482" t="s">
        <v>773</v>
      </c>
      <c r="B482" t="s">
        <v>577</v>
      </c>
    </row>
    <row r="483" spans="1:2" x14ac:dyDescent="0.3">
      <c r="A483" t="s">
        <v>773</v>
      </c>
      <c r="B483" t="s">
        <v>577</v>
      </c>
    </row>
    <row r="484" spans="1:2" x14ac:dyDescent="0.3">
      <c r="A484" t="s">
        <v>773</v>
      </c>
      <c r="B484" t="s">
        <v>577</v>
      </c>
    </row>
    <row r="485" spans="1:2" x14ac:dyDescent="0.3">
      <c r="A485" t="s">
        <v>773</v>
      </c>
      <c r="B485" t="s">
        <v>577</v>
      </c>
    </row>
    <row r="486" spans="1:2" x14ac:dyDescent="0.3">
      <c r="A486" t="s">
        <v>773</v>
      </c>
      <c r="B486" t="s">
        <v>577</v>
      </c>
    </row>
    <row r="487" spans="1:2" x14ac:dyDescent="0.3">
      <c r="A487" t="s">
        <v>773</v>
      </c>
      <c r="B487" t="s">
        <v>577</v>
      </c>
    </row>
    <row r="488" spans="1:2" x14ac:dyDescent="0.3">
      <c r="A488" t="s">
        <v>773</v>
      </c>
      <c r="B488" t="s">
        <v>577</v>
      </c>
    </row>
    <row r="489" spans="1:2" x14ac:dyDescent="0.3">
      <c r="A489" t="s">
        <v>773</v>
      </c>
      <c r="B489" t="s">
        <v>577</v>
      </c>
    </row>
    <row r="490" spans="1:2" x14ac:dyDescent="0.3">
      <c r="A490" t="s">
        <v>773</v>
      </c>
      <c r="B490" t="s">
        <v>577</v>
      </c>
    </row>
    <row r="491" spans="1:2" x14ac:dyDescent="0.3">
      <c r="A491" t="s">
        <v>41</v>
      </c>
      <c r="B491" t="s">
        <v>577</v>
      </c>
    </row>
    <row r="492" spans="1:2" x14ac:dyDescent="0.3">
      <c r="A492" t="s">
        <v>41</v>
      </c>
      <c r="B492" t="s">
        <v>577</v>
      </c>
    </row>
    <row r="493" spans="1:2" x14ac:dyDescent="0.3">
      <c r="A493" t="s">
        <v>41</v>
      </c>
      <c r="B493" t="s">
        <v>577</v>
      </c>
    </row>
    <row r="494" spans="1:2" x14ac:dyDescent="0.3">
      <c r="A494" t="s">
        <v>41</v>
      </c>
      <c r="B494" t="s">
        <v>577</v>
      </c>
    </row>
    <row r="495" spans="1:2" x14ac:dyDescent="0.3">
      <c r="A495" t="s">
        <v>415</v>
      </c>
      <c r="B495" t="s">
        <v>577</v>
      </c>
    </row>
    <row r="496" spans="1:2" x14ac:dyDescent="0.3">
      <c r="A496" t="s">
        <v>415</v>
      </c>
      <c r="B496" t="s">
        <v>577</v>
      </c>
    </row>
    <row r="497" spans="1:2" x14ac:dyDescent="0.3">
      <c r="A497" t="s">
        <v>8</v>
      </c>
      <c r="B497" t="s">
        <v>577</v>
      </c>
    </row>
    <row r="498" spans="1:2" x14ac:dyDescent="0.3">
      <c r="A498" t="s">
        <v>8</v>
      </c>
      <c r="B498" t="s">
        <v>577</v>
      </c>
    </row>
    <row r="499" spans="1:2" x14ac:dyDescent="0.3">
      <c r="A499" t="s">
        <v>8</v>
      </c>
      <c r="B499" t="s">
        <v>577</v>
      </c>
    </row>
    <row r="500" spans="1:2" x14ac:dyDescent="0.3">
      <c r="A500" t="s">
        <v>8</v>
      </c>
      <c r="B500" t="s">
        <v>577</v>
      </c>
    </row>
    <row r="501" spans="1:2" x14ac:dyDescent="0.3">
      <c r="A501" t="s">
        <v>8</v>
      </c>
      <c r="B501" t="s">
        <v>577</v>
      </c>
    </row>
    <row r="502" spans="1:2" x14ac:dyDescent="0.3">
      <c r="A502" t="s">
        <v>8</v>
      </c>
      <c r="B502" t="s">
        <v>577</v>
      </c>
    </row>
    <row r="503" spans="1:2" x14ac:dyDescent="0.3">
      <c r="A503" t="s">
        <v>8</v>
      </c>
      <c r="B503" t="s">
        <v>577</v>
      </c>
    </row>
    <row r="504" spans="1:2" x14ac:dyDescent="0.3">
      <c r="A504" t="s">
        <v>8</v>
      </c>
      <c r="B504" t="s">
        <v>577</v>
      </c>
    </row>
    <row r="505" spans="1:2" x14ac:dyDescent="0.3">
      <c r="A505" t="s">
        <v>8</v>
      </c>
      <c r="B505" t="s">
        <v>577</v>
      </c>
    </row>
    <row r="506" spans="1:2" x14ac:dyDescent="0.3">
      <c r="A506" t="s">
        <v>8</v>
      </c>
      <c r="B506" t="s">
        <v>577</v>
      </c>
    </row>
    <row r="507" spans="1:2" x14ac:dyDescent="0.3">
      <c r="A507" t="s">
        <v>8</v>
      </c>
      <c r="B507" t="s">
        <v>577</v>
      </c>
    </row>
    <row r="508" spans="1:2" x14ac:dyDescent="0.3">
      <c r="A508" t="s">
        <v>8</v>
      </c>
      <c r="B508" t="s">
        <v>577</v>
      </c>
    </row>
    <row r="509" spans="1:2" x14ac:dyDescent="0.3">
      <c r="A509" t="s">
        <v>8</v>
      </c>
      <c r="B509" t="s">
        <v>577</v>
      </c>
    </row>
    <row r="510" spans="1:2" x14ac:dyDescent="0.3">
      <c r="A510" t="s">
        <v>8</v>
      </c>
      <c r="B510" t="s">
        <v>577</v>
      </c>
    </row>
    <row r="511" spans="1:2" x14ac:dyDescent="0.3">
      <c r="A511" t="s">
        <v>9</v>
      </c>
    </row>
    <row r="512" spans="1:2" x14ac:dyDescent="0.3">
      <c r="A512" t="s">
        <v>9</v>
      </c>
    </row>
    <row r="513" spans="1:2" x14ac:dyDescent="0.3">
      <c r="A513" t="s">
        <v>9</v>
      </c>
    </row>
    <row r="514" spans="1:2" x14ac:dyDescent="0.3">
      <c r="A514" t="s">
        <v>38</v>
      </c>
      <c r="B514" t="s">
        <v>577</v>
      </c>
    </row>
    <row r="515" spans="1:2" x14ac:dyDescent="0.3">
      <c r="A515" t="s">
        <v>38</v>
      </c>
      <c r="B515" t="s">
        <v>577</v>
      </c>
    </row>
    <row r="516" spans="1:2" x14ac:dyDescent="0.3">
      <c r="A516" t="s">
        <v>38</v>
      </c>
      <c r="B516" t="s">
        <v>577</v>
      </c>
    </row>
    <row r="517" spans="1:2" x14ac:dyDescent="0.3">
      <c r="A517" t="s">
        <v>38</v>
      </c>
      <c r="B517" t="s">
        <v>577</v>
      </c>
    </row>
    <row r="518" spans="1:2" x14ac:dyDescent="0.3">
      <c r="A518" t="s">
        <v>38</v>
      </c>
      <c r="B518" t="s">
        <v>577</v>
      </c>
    </row>
    <row r="519" spans="1:2" x14ac:dyDescent="0.3">
      <c r="A519" t="s">
        <v>38</v>
      </c>
      <c r="B519" t="s">
        <v>577</v>
      </c>
    </row>
    <row r="520" spans="1:2" x14ac:dyDescent="0.3">
      <c r="A520" t="s">
        <v>38</v>
      </c>
      <c r="B520" t="s">
        <v>577</v>
      </c>
    </row>
    <row r="521" spans="1:2" x14ac:dyDescent="0.3">
      <c r="A521" t="s">
        <v>38</v>
      </c>
      <c r="B521" t="s">
        <v>577</v>
      </c>
    </row>
    <row r="522" spans="1:2" x14ac:dyDescent="0.3">
      <c r="A522" t="s">
        <v>38</v>
      </c>
      <c r="B522" t="s">
        <v>577</v>
      </c>
    </row>
    <row r="523" spans="1:2" x14ac:dyDescent="0.3">
      <c r="A523" t="s">
        <v>38</v>
      </c>
      <c r="B523" t="s">
        <v>577</v>
      </c>
    </row>
    <row r="524" spans="1:2" x14ac:dyDescent="0.3">
      <c r="A524" t="s">
        <v>38</v>
      </c>
      <c r="B524" t="s">
        <v>577</v>
      </c>
    </row>
    <row r="525" spans="1:2" x14ac:dyDescent="0.3">
      <c r="A525" t="s">
        <v>38</v>
      </c>
      <c r="B525" t="s">
        <v>577</v>
      </c>
    </row>
    <row r="526" spans="1:2" x14ac:dyDescent="0.3">
      <c r="A526" t="s">
        <v>38</v>
      </c>
      <c r="B526" t="s">
        <v>577</v>
      </c>
    </row>
    <row r="527" spans="1:2" x14ac:dyDescent="0.3">
      <c r="A527" t="s">
        <v>38</v>
      </c>
      <c r="B527" t="s">
        <v>577</v>
      </c>
    </row>
    <row r="528" spans="1:2" x14ac:dyDescent="0.3">
      <c r="A528" t="s">
        <v>38</v>
      </c>
      <c r="B528" t="s">
        <v>577</v>
      </c>
    </row>
    <row r="529" spans="1:2" x14ac:dyDescent="0.3">
      <c r="A529" t="s">
        <v>38</v>
      </c>
      <c r="B529" t="s">
        <v>577</v>
      </c>
    </row>
    <row r="530" spans="1:2" x14ac:dyDescent="0.3">
      <c r="A530" t="s">
        <v>38</v>
      </c>
      <c r="B530" t="s">
        <v>577</v>
      </c>
    </row>
    <row r="531" spans="1:2" x14ac:dyDescent="0.3">
      <c r="A531" t="s">
        <v>25</v>
      </c>
    </row>
    <row r="532" spans="1:2" x14ac:dyDescent="0.3">
      <c r="A532" t="s">
        <v>25</v>
      </c>
    </row>
    <row r="533" spans="1:2" x14ac:dyDescent="0.3">
      <c r="A533" t="s">
        <v>25</v>
      </c>
    </row>
    <row r="534" spans="1:2" x14ac:dyDescent="0.3">
      <c r="A534" t="s">
        <v>25</v>
      </c>
    </row>
    <row r="535" spans="1:2" x14ac:dyDescent="0.3">
      <c r="A535" t="s">
        <v>25</v>
      </c>
    </row>
    <row r="536" spans="1:2" x14ac:dyDescent="0.3">
      <c r="A536" t="s">
        <v>25</v>
      </c>
    </row>
    <row r="537" spans="1:2" x14ac:dyDescent="0.3">
      <c r="A537" t="s">
        <v>25</v>
      </c>
    </row>
    <row r="538" spans="1:2" x14ac:dyDescent="0.3">
      <c r="A538" t="s">
        <v>25</v>
      </c>
    </row>
    <row r="539" spans="1:2" x14ac:dyDescent="0.3">
      <c r="A539" t="s">
        <v>25</v>
      </c>
    </row>
    <row r="540" spans="1:2" x14ac:dyDescent="0.3">
      <c r="A540" t="s">
        <v>29</v>
      </c>
    </row>
    <row r="541" spans="1:2" x14ac:dyDescent="0.3">
      <c r="A541" t="s">
        <v>29</v>
      </c>
    </row>
    <row r="542" spans="1:2" x14ac:dyDescent="0.3">
      <c r="A542" t="s">
        <v>29</v>
      </c>
    </row>
    <row r="543" spans="1:2" x14ac:dyDescent="0.3">
      <c r="A543" t="s">
        <v>29</v>
      </c>
    </row>
    <row r="544" spans="1:2" x14ac:dyDescent="0.3">
      <c r="A544" t="s">
        <v>29</v>
      </c>
    </row>
    <row r="545" spans="1:2" x14ac:dyDescent="0.3">
      <c r="A545" t="s">
        <v>29</v>
      </c>
    </row>
    <row r="546" spans="1:2" x14ac:dyDescent="0.3">
      <c r="A546" t="s">
        <v>29</v>
      </c>
    </row>
    <row r="547" spans="1:2" x14ac:dyDescent="0.3">
      <c r="A547" t="s">
        <v>23</v>
      </c>
      <c r="B547" t="s">
        <v>577</v>
      </c>
    </row>
    <row r="548" spans="1:2" x14ac:dyDescent="0.3">
      <c r="A548" t="s">
        <v>23</v>
      </c>
      <c r="B548" t="s">
        <v>577</v>
      </c>
    </row>
    <row r="549" spans="1:2" x14ac:dyDescent="0.3">
      <c r="A549" t="s">
        <v>23</v>
      </c>
      <c r="B549" t="s">
        <v>577</v>
      </c>
    </row>
    <row r="550" spans="1:2" x14ac:dyDescent="0.3">
      <c r="A550" t="s">
        <v>23</v>
      </c>
      <c r="B550" t="s">
        <v>577</v>
      </c>
    </row>
    <row r="551" spans="1:2" x14ac:dyDescent="0.3">
      <c r="A551" t="s">
        <v>23</v>
      </c>
      <c r="B551" t="s">
        <v>577</v>
      </c>
    </row>
    <row r="552" spans="1:2" x14ac:dyDescent="0.3">
      <c r="A552" t="s">
        <v>23</v>
      </c>
      <c r="B552" t="s">
        <v>577</v>
      </c>
    </row>
    <row r="553" spans="1:2" x14ac:dyDescent="0.3">
      <c r="A553" t="s">
        <v>23</v>
      </c>
      <c r="B553" t="s">
        <v>577</v>
      </c>
    </row>
    <row r="554" spans="1:2" x14ac:dyDescent="0.3">
      <c r="A554" t="s">
        <v>23</v>
      </c>
      <c r="B554" t="s">
        <v>577</v>
      </c>
    </row>
    <row r="555" spans="1:2" x14ac:dyDescent="0.3">
      <c r="A555" t="s">
        <v>23</v>
      </c>
      <c r="B555" t="s">
        <v>577</v>
      </c>
    </row>
    <row r="556" spans="1:2" x14ac:dyDescent="0.3">
      <c r="A556" t="s">
        <v>23</v>
      </c>
      <c r="B556" t="s">
        <v>577</v>
      </c>
    </row>
    <row r="557" spans="1:2" x14ac:dyDescent="0.3">
      <c r="A557" t="s">
        <v>23</v>
      </c>
      <c r="B557" t="s">
        <v>577</v>
      </c>
    </row>
    <row r="558" spans="1:2" x14ac:dyDescent="0.3">
      <c r="A558" t="s">
        <v>23</v>
      </c>
      <c r="B558" t="s">
        <v>577</v>
      </c>
    </row>
    <row r="559" spans="1:2" x14ac:dyDescent="0.3">
      <c r="A559" t="s">
        <v>23</v>
      </c>
      <c r="B559" t="s">
        <v>577</v>
      </c>
    </row>
    <row r="560" spans="1:2" x14ac:dyDescent="0.3">
      <c r="A560" t="s">
        <v>23</v>
      </c>
      <c r="B560" t="s">
        <v>577</v>
      </c>
    </row>
    <row r="561" spans="1:2" x14ac:dyDescent="0.3">
      <c r="A561" t="s">
        <v>24</v>
      </c>
    </row>
    <row r="562" spans="1:2" x14ac:dyDescent="0.3">
      <c r="A562" t="s">
        <v>24</v>
      </c>
    </row>
    <row r="563" spans="1:2" x14ac:dyDescent="0.3">
      <c r="A563" t="s">
        <v>24</v>
      </c>
    </row>
    <row r="564" spans="1:2" x14ac:dyDescent="0.3">
      <c r="A564" t="s">
        <v>24</v>
      </c>
    </row>
    <row r="565" spans="1:2" x14ac:dyDescent="0.3">
      <c r="A565" t="s">
        <v>24</v>
      </c>
    </row>
    <row r="566" spans="1:2" x14ac:dyDescent="0.3">
      <c r="A566" t="s">
        <v>24</v>
      </c>
    </row>
    <row r="567" spans="1:2" x14ac:dyDescent="0.3">
      <c r="A567" t="s">
        <v>24</v>
      </c>
    </row>
    <row r="568" spans="1:2" x14ac:dyDescent="0.3">
      <c r="A568" t="s">
        <v>24</v>
      </c>
    </row>
    <row r="569" spans="1:2" x14ac:dyDescent="0.3">
      <c r="A569" t="s">
        <v>24</v>
      </c>
    </row>
    <row r="570" spans="1:2" x14ac:dyDescent="0.3">
      <c r="A570" t="s">
        <v>24</v>
      </c>
    </row>
    <row r="571" spans="1:2" x14ac:dyDescent="0.3">
      <c r="A571" t="s">
        <v>24</v>
      </c>
    </row>
    <row r="572" spans="1:2" x14ac:dyDescent="0.3">
      <c r="A572" t="s">
        <v>24</v>
      </c>
    </row>
    <row r="573" spans="1:2" x14ac:dyDescent="0.3">
      <c r="A573" t="s">
        <v>24</v>
      </c>
    </row>
    <row r="574" spans="1:2" x14ac:dyDescent="0.3">
      <c r="A574" t="s">
        <v>44</v>
      </c>
      <c r="B574" t="s">
        <v>577</v>
      </c>
    </row>
    <row r="575" spans="1:2" x14ac:dyDescent="0.3">
      <c r="A575" t="s">
        <v>44</v>
      </c>
      <c r="B575" t="s">
        <v>577</v>
      </c>
    </row>
    <row r="576" spans="1:2" x14ac:dyDescent="0.3">
      <c r="A576" t="s">
        <v>44</v>
      </c>
      <c r="B576" t="s">
        <v>577</v>
      </c>
    </row>
    <row r="577" spans="1:2" x14ac:dyDescent="0.3">
      <c r="A577" t="s">
        <v>5</v>
      </c>
    </row>
    <row r="578" spans="1:2" x14ac:dyDescent="0.3">
      <c r="A578" t="s">
        <v>5</v>
      </c>
    </row>
    <row r="579" spans="1:2" x14ac:dyDescent="0.3">
      <c r="A579" t="s">
        <v>5</v>
      </c>
    </row>
    <row r="580" spans="1:2" x14ac:dyDescent="0.3">
      <c r="A580" t="s">
        <v>5</v>
      </c>
    </row>
    <row r="581" spans="1:2" x14ac:dyDescent="0.3">
      <c r="A581" t="s">
        <v>5</v>
      </c>
    </row>
    <row r="582" spans="1:2" x14ac:dyDescent="0.3">
      <c r="A582" t="s">
        <v>5</v>
      </c>
    </row>
    <row r="583" spans="1:2" x14ac:dyDescent="0.3">
      <c r="A583" t="s">
        <v>5</v>
      </c>
    </row>
    <row r="584" spans="1:2" x14ac:dyDescent="0.3">
      <c r="A584" t="s">
        <v>5</v>
      </c>
    </row>
    <row r="585" spans="1:2" x14ac:dyDescent="0.3">
      <c r="A585" t="s">
        <v>5</v>
      </c>
    </row>
    <row r="586" spans="1:2" x14ac:dyDescent="0.3">
      <c r="A586" t="s">
        <v>5</v>
      </c>
    </row>
    <row r="587" spans="1:2" x14ac:dyDescent="0.3">
      <c r="A587" t="s">
        <v>5</v>
      </c>
    </row>
    <row r="588" spans="1:2" x14ac:dyDescent="0.3">
      <c r="A588" t="s">
        <v>5</v>
      </c>
    </row>
    <row r="589" spans="1:2" x14ac:dyDescent="0.3">
      <c r="A589" t="s">
        <v>5</v>
      </c>
    </row>
    <row r="590" spans="1:2" x14ac:dyDescent="0.3">
      <c r="A590" t="s">
        <v>5</v>
      </c>
    </row>
    <row r="591" spans="1:2" x14ac:dyDescent="0.3">
      <c r="A591" t="s">
        <v>5</v>
      </c>
    </row>
    <row r="592" spans="1:2" x14ac:dyDescent="0.3">
      <c r="A592" t="s">
        <v>22</v>
      </c>
      <c r="B592" t="s">
        <v>577</v>
      </c>
    </row>
    <row r="593" spans="1:2" x14ac:dyDescent="0.3">
      <c r="A593" t="s">
        <v>22</v>
      </c>
      <c r="B593" t="s">
        <v>577</v>
      </c>
    </row>
    <row r="594" spans="1:2" x14ac:dyDescent="0.3">
      <c r="A594" t="s">
        <v>22</v>
      </c>
      <c r="B594" t="s">
        <v>577</v>
      </c>
    </row>
    <row r="595" spans="1:2" x14ac:dyDescent="0.3">
      <c r="A595" t="s">
        <v>22</v>
      </c>
      <c r="B595" t="s">
        <v>577</v>
      </c>
    </row>
    <row r="596" spans="1:2" x14ac:dyDescent="0.3">
      <c r="A596" t="s">
        <v>22</v>
      </c>
      <c r="B596" t="s">
        <v>577</v>
      </c>
    </row>
    <row r="597" spans="1:2" x14ac:dyDescent="0.3">
      <c r="A597" t="s">
        <v>22</v>
      </c>
      <c r="B597" t="s">
        <v>577</v>
      </c>
    </row>
    <row r="598" spans="1:2" x14ac:dyDescent="0.3">
      <c r="A598" t="s">
        <v>22</v>
      </c>
      <c r="B598" t="s">
        <v>577</v>
      </c>
    </row>
    <row r="599" spans="1:2" x14ac:dyDescent="0.3">
      <c r="A599" t="s">
        <v>22</v>
      </c>
      <c r="B599" t="s">
        <v>577</v>
      </c>
    </row>
    <row r="600" spans="1:2" x14ac:dyDescent="0.3">
      <c r="A600" t="s">
        <v>22</v>
      </c>
      <c r="B600" t="s">
        <v>577</v>
      </c>
    </row>
    <row r="601" spans="1:2" x14ac:dyDescent="0.3">
      <c r="A601" t="s">
        <v>22</v>
      </c>
      <c r="B601" t="s">
        <v>577</v>
      </c>
    </row>
    <row r="602" spans="1:2" x14ac:dyDescent="0.3">
      <c r="A602" t="s">
        <v>22</v>
      </c>
      <c r="B602" t="s">
        <v>577</v>
      </c>
    </row>
    <row r="603" spans="1:2" x14ac:dyDescent="0.3">
      <c r="A603" t="s">
        <v>22</v>
      </c>
      <c r="B603" t="s">
        <v>577</v>
      </c>
    </row>
    <row r="604" spans="1:2" x14ac:dyDescent="0.3">
      <c r="A604" t="s">
        <v>22</v>
      </c>
      <c r="B604" t="s">
        <v>577</v>
      </c>
    </row>
    <row r="605" spans="1:2" x14ac:dyDescent="0.3">
      <c r="A605" t="s">
        <v>285</v>
      </c>
    </row>
    <row r="606" spans="1:2" x14ac:dyDescent="0.3">
      <c r="A606" t="s">
        <v>285</v>
      </c>
    </row>
    <row r="607" spans="1:2" x14ac:dyDescent="0.3">
      <c r="A607" t="s">
        <v>285</v>
      </c>
    </row>
    <row r="608" spans="1:2" x14ac:dyDescent="0.3">
      <c r="A608" t="s">
        <v>285</v>
      </c>
    </row>
    <row r="609" spans="1:2" x14ac:dyDescent="0.3">
      <c r="A609" t="s">
        <v>285</v>
      </c>
    </row>
    <row r="610" spans="1:2" x14ac:dyDescent="0.3">
      <c r="A610" t="s">
        <v>45</v>
      </c>
    </row>
    <row r="611" spans="1:2" x14ac:dyDescent="0.3">
      <c r="A611" t="s">
        <v>45</v>
      </c>
    </row>
    <row r="612" spans="1:2" x14ac:dyDescent="0.3">
      <c r="A612" t="s">
        <v>45</v>
      </c>
    </row>
    <row r="613" spans="1:2" x14ac:dyDescent="0.3">
      <c r="A613" t="s">
        <v>45</v>
      </c>
    </row>
    <row r="614" spans="1:2" x14ac:dyDescent="0.3">
      <c r="A614" t="s">
        <v>55</v>
      </c>
      <c r="B614" t="s">
        <v>577</v>
      </c>
    </row>
    <row r="615" spans="1:2" x14ac:dyDescent="0.3">
      <c r="A615" t="s">
        <v>55</v>
      </c>
      <c r="B615" t="s">
        <v>577</v>
      </c>
    </row>
    <row r="616" spans="1:2" x14ac:dyDescent="0.3">
      <c r="A616" t="s">
        <v>55</v>
      </c>
      <c r="B616" t="s">
        <v>577</v>
      </c>
    </row>
    <row r="617" spans="1:2" x14ac:dyDescent="0.3">
      <c r="A617" t="s">
        <v>55</v>
      </c>
      <c r="B617" t="s">
        <v>577</v>
      </c>
    </row>
    <row r="618" spans="1:2" x14ac:dyDescent="0.3">
      <c r="A618" t="s">
        <v>55</v>
      </c>
      <c r="B618" t="s">
        <v>577</v>
      </c>
    </row>
    <row r="619" spans="1:2" x14ac:dyDescent="0.3">
      <c r="A619" t="s">
        <v>55</v>
      </c>
      <c r="B619" t="s">
        <v>577</v>
      </c>
    </row>
    <row r="620" spans="1:2" x14ac:dyDescent="0.3">
      <c r="A620" t="s">
        <v>55</v>
      </c>
      <c r="B620" t="s">
        <v>577</v>
      </c>
    </row>
    <row r="621" spans="1:2" x14ac:dyDescent="0.3">
      <c r="A621" t="s">
        <v>55</v>
      </c>
      <c r="B621" t="s">
        <v>577</v>
      </c>
    </row>
    <row r="622" spans="1:2" x14ac:dyDescent="0.3">
      <c r="A622" t="s">
        <v>55</v>
      </c>
      <c r="B622" t="s">
        <v>577</v>
      </c>
    </row>
    <row r="623" spans="1:2" x14ac:dyDescent="0.3">
      <c r="A623" t="s">
        <v>55</v>
      </c>
      <c r="B623" t="s">
        <v>577</v>
      </c>
    </row>
    <row r="624" spans="1:2" x14ac:dyDescent="0.3">
      <c r="A624" t="s">
        <v>55</v>
      </c>
      <c r="B624" t="s">
        <v>577</v>
      </c>
    </row>
    <row r="625" spans="1:2" x14ac:dyDescent="0.3">
      <c r="A625" t="s">
        <v>55</v>
      </c>
      <c r="B625" t="s">
        <v>577</v>
      </c>
    </row>
    <row r="626" spans="1:2" x14ac:dyDescent="0.3">
      <c r="A626" t="s">
        <v>55</v>
      </c>
      <c r="B626" t="s">
        <v>577</v>
      </c>
    </row>
    <row r="627" spans="1:2" x14ac:dyDescent="0.3">
      <c r="A627" t="s">
        <v>55</v>
      </c>
      <c r="B627" t="s">
        <v>577</v>
      </c>
    </row>
    <row r="628" spans="1:2" x14ac:dyDescent="0.3">
      <c r="A628" t="s">
        <v>55</v>
      </c>
      <c r="B628" t="s">
        <v>577</v>
      </c>
    </row>
    <row r="629" spans="1:2" x14ac:dyDescent="0.3">
      <c r="A629" t="s">
        <v>55</v>
      </c>
      <c r="B629" t="s">
        <v>577</v>
      </c>
    </row>
    <row r="630" spans="1:2" x14ac:dyDescent="0.3">
      <c r="A630" t="s">
        <v>55</v>
      </c>
      <c r="B630" t="s">
        <v>577</v>
      </c>
    </row>
    <row r="631" spans="1:2" x14ac:dyDescent="0.3">
      <c r="A631" t="s">
        <v>55</v>
      </c>
      <c r="B631" t="s">
        <v>577</v>
      </c>
    </row>
    <row r="632" spans="1:2" x14ac:dyDescent="0.3">
      <c r="A632" t="s">
        <v>55</v>
      </c>
      <c r="B632" t="s">
        <v>577</v>
      </c>
    </row>
    <row r="633" spans="1:2" x14ac:dyDescent="0.3">
      <c r="A633" t="s">
        <v>55</v>
      </c>
      <c r="B633" t="s">
        <v>577</v>
      </c>
    </row>
    <row r="634" spans="1:2" x14ac:dyDescent="0.3">
      <c r="A634" t="s">
        <v>55</v>
      </c>
      <c r="B634" t="s">
        <v>577</v>
      </c>
    </row>
    <row r="635" spans="1:2" x14ac:dyDescent="0.3">
      <c r="A635" t="s">
        <v>55</v>
      </c>
      <c r="B635" t="s">
        <v>577</v>
      </c>
    </row>
    <row r="636" spans="1:2" x14ac:dyDescent="0.3">
      <c r="A636" t="s">
        <v>55</v>
      </c>
      <c r="B636" t="s">
        <v>577</v>
      </c>
    </row>
    <row r="637" spans="1:2" x14ac:dyDescent="0.3">
      <c r="A637" t="s">
        <v>55</v>
      </c>
      <c r="B637" t="s">
        <v>577</v>
      </c>
    </row>
    <row r="638" spans="1:2" x14ac:dyDescent="0.3">
      <c r="A638" t="s">
        <v>55</v>
      </c>
      <c r="B638" t="s">
        <v>577</v>
      </c>
    </row>
    <row r="639" spans="1:2" x14ac:dyDescent="0.3">
      <c r="A639" t="s">
        <v>55</v>
      </c>
      <c r="B639" t="s">
        <v>577</v>
      </c>
    </row>
    <row r="640" spans="1:2" x14ac:dyDescent="0.3">
      <c r="A640" t="s">
        <v>55</v>
      </c>
      <c r="B640" t="s">
        <v>577</v>
      </c>
    </row>
    <row r="641" spans="1:2" x14ac:dyDescent="0.3">
      <c r="A641" t="s">
        <v>55</v>
      </c>
      <c r="B641" t="s">
        <v>577</v>
      </c>
    </row>
    <row r="642" spans="1:2" x14ac:dyDescent="0.3">
      <c r="A642" t="s">
        <v>55</v>
      </c>
      <c r="B642" t="s">
        <v>577</v>
      </c>
    </row>
    <row r="643" spans="1:2" x14ac:dyDescent="0.3">
      <c r="A643" t="s">
        <v>55</v>
      </c>
      <c r="B643" t="s">
        <v>577</v>
      </c>
    </row>
    <row r="644" spans="1:2" x14ac:dyDescent="0.3">
      <c r="A644" t="s">
        <v>55</v>
      </c>
      <c r="B644" t="s">
        <v>577</v>
      </c>
    </row>
    <row r="645" spans="1:2" x14ac:dyDescent="0.3">
      <c r="A645" t="s">
        <v>55</v>
      </c>
      <c r="B645" t="s">
        <v>577</v>
      </c>
    </row>
    <row r="646" spans="1:2" x14ac:dyDescent="0.3">
      <c r="A646" t="s">
        <v>55</v>
      </c>
      <c r="B646" t="s">
        <v>577</v>
      </c>
    </row>
    <row r="647" spans="1:2" x14ac:dyDescent="0.3">
      <c r="A647" t="s">
        <v>55</v>
      </c>
      <c r="B647" t="s">
        <v>577</v>
      </c>
    </row>
    <row r="648" spans="1:2" x14ac:dyDescent="0.3">
      <c r="A648" t="s">
        <v>55</v>
      </c>
      <c r="B648" t="s">
        <v>577</v>
      </c>
    </row>
    <row r="649" spans="1:2" x14ac:dyDescent="0.3">
      <c r="A649" t="s">
        <v>55</v>
      </c>
      <c r="B649" t="s">
        <v>577</v>
      </c>
    </row>
    <row r="650" spans="1:2" x14ac:dyDescent="0.3">
      <c r="A650" t="s">
        <v>55</v>
      </c>
      <c r="B650" t="s">
        <v>577</v>
      </c>
    </row>
    <row r="651" spans="1:2" x14ac:dyDescent="0.3">
      <c r="A651" t="s">
        <v>55</v>
      </c>
      <c r="B651" t="s">
        <v>577</v>
      </c>
    </row>
    <row r="652" spans="1:2" x14ac:dyDescent="0.3">
      <c r="A652" t="s">
        <v>55</v>
      </c>
      <c r="B652" t="s">
        <v>577</v>
      </c>
    </row>
    <row r="653" spans="1:2" x14ac:dyDescent="0.3">
      <c r="A653" t="s">
        <v>55</v>
      </c>
      <c r="B653" t="s">
        <v>577</v>
      </c>
    </row>
    <row r="654" spans="1:2" x14ac:dyDescent="0.3">
      <c r="A654" t="s">
        <v>55</v>
      </c>
      <c r="B654" t="s">
        <v>577</v>
      </c>
    </row>
    <row r="655" spans="1:2" x14ac:dyDescent="0.3">
      <c r="A655" t="s">
        <v>55</v>
      </c>
      <c r="B655" t="s">
        <v>577</v>
      </c>
    </row>
    <row r="656" spans="1:2" x14ac:dyDescent="0.3">
      <c r="A656" t="s">
        <v>55</v>
      </c>
      <c r="B656" t="s">
        <v>577</v>
      </c>
    </row>
    <row r="657" spans="1:2" x14ac:dyDescent="0.3">
      <c r="A657" t="s">
        <v>55</v>
      </c>
      <c r="B657" t="s">
        <v>577</v>
      </c>
    </row>
    <row r="658" spans="1:2" x14ac:dyDescent="0.3">
      <c r="A658" t="s">
        <v>55</v>
      </c>
      <c r="B658" t="s">
        <v>577</v>
      </c>
    </row>
    <row r="659" spans="1:2" x14ac:dyDescent="0.3">
      <c r="A659" t="s">
        <v>55</v>
      </c>
      <c r="B659" t="s">
        <v>577</v>
      </c>
    </row>
    <row r="660" spans="1:2" x14ac:dyDescent="0.3">
      <c r="A660" t="s">
        <v>55</v>
      </c>
      <c r="B660" t="s">
        <v>577</v>
      </c>
    </row>
    <row r="661" spans="1:2" x14ac:dyDescent="0.3">
      <c r="A661" t="s">
        <v>55</v>
      </c>
      <c r="B661" t="s">
        <v>577</v>
      </c>
    </row>
    <row r="662" spans="1:2" x14ac:dyDescent="0.3">
      <c r="A662" t="s">
        <v>55</v>
      </c>
      <c r="B662" t="s">
        <v>577</v>
      </c>
    </row>
    <row r="663" spans="1:2" x14ac:dyDescent="0.3">
      <c r="A663" t="s">
        <v>55</v>
      </c>
      <c r="B663" t="s">
        <v>577</v>
      </c>
    </row>
    <row r="664" spans="1:2" x14ac:dyDescent="0.3">
      <c r="A664" t="s">
        <v>55</v>
      </c>
      <c r="B664" t="s">
        <v>577</v>
      </c>
    </row>
    <row r="665" spans="1:2" x14ac:dyDescent="0.3">
      <c r="A665" t="s">
        <v>55</v>
      </c>
      <c r="B665" t="s">
        <v>577</v>
      </c>
    </row>
    <row r="666" spans="1:2" x14ac:dyDescent="0.3">
      <c r="A666" t="s">
        <v>55</v>
      </c>
      <c r="B666" t="s">
        <v>577</v>
      </c>
    </row>
    <row r="667" spans="1:2" x14ac:dyDescent="0.3">
      <c r="A667" t="s">
        <v>55</v>
      </c>
      <c r="B667" t="s">
        <v>577</v>
      </c>
    </row>
    <row r="668" spans="1:2" x14ac:dyDescent="0.3">
      <c r="A668" t="s">
        <v>49</v>
      </c>
    </row>
    <row r="669" spans="1:2" x14ac:dyDescent="0.3">
      <c r="A669" t="s">
        <v>49</v>
      </c>
    </row>
    <row r="670" spans="1:2" x14ac:dyDescent="0.3">
      <c r="A670" t="s">
        <v>49</v>
      </c>
    </row>
    <row r="671" spans="1:2" x14ac:dyDescent="0.3">
      <c r="A671" t="s">
        <v>49</v>
      </c>
    </row>
    <row r="672" spans="1:2" x14ac:dyDescent="0.3">
      <c r="A672" t="s">
        <v>49</v>
      </c>
    </row>
    <row r="673" spans="1:1" x14ac:dyDescent="0.3">
      <c r="A673" t="s">
        <v>49</v>
      </c>
    </row>
    <row r="674" spans="1:1" x14ac:dyDescent="0.3">
      <c r="A674" t="s">
        <v>49</v>
      </c>
    </row>
    <row r="675" spans="1:1" x14ac:dyDescent="0.3">
      <c r="A675" t="s">
        <v>49</v>
      </c>
    </row>
    <row r="676" spans="1:1" x14ac:dyDescent="0.3">
      <c r="A676" t="s">
        <v>49</v>
      </c>
    </row>
    <row r="677" spans="1:1" x14ac:dyDescent="0.3">
      <c r="A677" t="s">
        <v>49</v>
      </c>
    </row>
    <row r="678" spans="1:1" x14ac:dyDescent="0.3">
      <c r="A678" t="s">
        <v>49</v>
      </c>
    </row>
    <row r="679" spans="1:1" x14ac:dyDescent="0.3">
      <c r="A679" t="s">
        <v>50</v>
      </c>
    </row>
    <row r="680" spans="1:1" x14ac:dyDescent="0.3">
      <c r="A680" t="s">
        <v>50</v>
      </c>
    </row>
    <row r="681" spans="1:1" x14ac:dyDescent="0.3">
      <c r="A681" t="s">
        <v>50</v>
      </c>
    </row>
    <row r="682" spans="1:1" x14ac:dyDescent="0.3">
      <c r="A682" t="s">
        <v>50</v>
      </c>
    </row>
    <row r="683" spans="1:1" x14ac:dyDescent="0.3">
      <c r="A683" t="s">
        <v>50</v>
      </c>
    </row>
    <row r="684" spans="1:1" x14ac:dyDescent="0.3">
      <c r="A684" t="s">
        <v>50</v>
      </c>
    </row>
    <row r="685" spans="1:1" x14ac:dyDescent="0.3">
      <c r="A685" t="s">
        <v>50</v>
      </c>
    </row>
    <row r="686" spans="1:1" x14ac:dyDescent="0.3">
      <c r="A686" t="s">
        <v>50</v>
      </c>
    </row>
    <row r="687" spans="1:1" x14ac:dyDescent="0.3">
      <c r="A687" t="s">
        <v>50</v>
      </c>
    </row>
    <row r="688" spans="1:1" x14ac:dyDescent="0.3">
      <c r="A688" t="s">
        <v>50</v>
      </c>
    </row>
    <row r="689" spans="1:2" x14ac:dyDescent="0.3">
      <c r="A689" t="s">
        <v>50</v>
      </c>
    </row>
    <row r="690" spans="1:2" x14ac:dyDescent="0.3">
      <c r="A690" t="s">
        <v>50</v>
      </c>
    </row>
    <row r="691" spans="1:2" x14ac:dyDescent="0.3">
      <c r="A691" t="s">
        <v>377</v>
      </c>
    </row>
    <row r="692" spans="1:2" x14ac:dyDescent="0.3">
      <c r="A692" t="s">
        <v>377</v>
      </c>
    </row>
    <row r="693" spans="1:2" x14ac:dyDescent="0.3">
      <c r="A693" t="s">
        <v>12</v>
      </c>
      <c r="B693" t="s">
        <v>577</v>
      </c>
    </row>
    <row r="694" spans="1:2" x14ac:dyDescent="0.3">
      <c r="A694" t="s">
        <v>12</v>
      </c>
      <c r="B694" t="s">
        <v>577</v>
      </c>
    </row>
    <row r="695" spans="1:2" x14ac:dyDescent="0.3">
      <c r="A695" t="s">
        <v>12</v>
      </c>
      <c r="B695" t="s">
        <v>577</v>
      </c>
    </row>
    <row r="696" spans="1:2" x14ac:dyDescent="0.3">
      <c r="A696" t="s">
        <v>56</v>
      </c>
      <c r="B696" t="s">
        <v>577</v>
      </c>
    </row>
    <row r="697" spans="1:2" x14ac:dyDescent="0.3">
      <c r="A697" t="s">
        <v>56</v>
      </c>
      <c r="B697" t="s">
        <v>577</v>
      </c>
    </row>
    <row r="698" spans="1:2" x14ac:dyDescent="0.3">
      <c r="A698" t="s">
        <v>56</v>
      </c>
      <c r="B698" t="s">
        <v>577</v>
      </c>
    </row>
    <row r="699" spans="1:2" x14ac:dyDescent="0.3">
      <c r="A699" t="s">
        <v>56</v>
      </c>
      <c r="B699" t="s">
        <v>577</v>
      </c>
    </row>
    <row r="700" spans="1:2" x14ac:dyDescent="0.3">
      <c r="A700" t="s">
        <v>56</v>
      </c>
      <c r="B700" t="s">
        <v>577</v>
      </c>
    </row>
    <row r="701" spans="1:2" x14ac:dyDescent="0.3">
      <c r="A701" t="s">
        <v>56</v>
      </c>
      <c r="B701" t="s">
        <v>577</v>
      </c>
    </row>
    <row r="702" spans="1:2" x14ac:dyDescent="0.3">
      <c r="A702" t="s">
        <v>56</v>
      </c>
      <c r="B702" t="s">
        <v>577</v>
      </c>
    </row>
    <row r="703" spans="1:2" x14ac:dyDescent="0.3">
      <c r="A703" t="s">
        <v>56</v>
      </c>
      <c r="B703" t="s">
        <v>577</v>
      </c>
    </row>
    <row r="704" spans="1:2" x14ac:dyDescent="0.3">
      <c r="A704" t="s">
        <v>56</v>
      </c>
      <c r="B704" t="s">
        <v>577</v>
      </c>
    </row>
    <row r="705" spans="1:2" x14ac:dyDescent="0.3">
      <c r="A705" t="s">
        <v>56</v>
      </c>
      <c r="B705" t="s">
        <v>577</v>
      </c>
    </row>
    <row r="706" spans="1:2" x14ac:dyDescent="0.3">
      <c r="A706" t="s">
        <v>56</v>
      </c>
      <c r="B706" t="s">
        <v>577</v>
      </c>
    </row>
    <row r="707" spans="1:2" x14ac:dyDescent="0.3">
      <c r="A707" t="s">
        <v>56</v>
      </c>
      <c r="B707" t="s">
        <v>577</v>
      </c>
    </row>
    <row r="708" spans="1:2" x14ac:dyDescent="0.3">
      <c r="A708" t="s">
        <v>56</v>
      </c>
      <c r="B708" t="s">
        <v>577</v>
      </c>
    </row>
    <row r="709" spans="1:2" x14ac:dyDescent="0.3">
      <c r="A709" t="s">
        <v>56</v>
      </c>
      <c r="B709" t="s">
        <v>577</v>
      </c>
    </row>
    <row r="710" spans="1:2" x14ac:dyDescent="0.3">
      <c r="A710" t="s">
        <v>35</v>
      </c>
      <c r="B710" t="s">
        <v>577</v>
      </c>
    </row>
    <row r="711" spans="1:2" x14ac:dyDescent="0.3">
      <c r="A711" t="s">
        <v>35</v>
      </c>
      <c r="B711" t="s">
        <v>577</v>
      </c>
    </row>
    <row r="712" spans="1:2" x14ac:dyDescent="0.3">
      <c r="A712" t="s">
        <v>35</v>
      </c>
      <c r="B712" t="s">
        <v>577</v>
      </c>
    </row>
    <row r="713" spans="1:2" x14ac:dyDescent="0.3">
      <c r="A713" t="s">
        <v>35</v>
      </c>
      <c r="B713" t="s">
        <v>577</v>
      </c>
    </row>
    <row r="714" spans="1:2" x14ac:dyDescent="0.3">
      <c r="A714" t="s">
        <v>35</v>
      </c>
      <c r="B714" t="s">
        <v>577</v>
      </c>
    </row>
    <row r="715" spans="1:2" x14ac:dyDescent="0.3">
      <c r="A715" t="s">
        <v>35</v>
      </c>
      <c r="B715" t="s">
        <v>577</v>
      </c>
    </row>
    <row r="716" spans="1:2" x14ac:dyDescent="0.3">
      <c r="A716" t="s">
        <v>35</v>
      </c>
      <c r="B716" t="s">
        <v>577</v>
      </c>
    </row>
    <row r="717" spans="1:2" x14ac:dyDescent="0.3">
      <c r="A717" t="s">
        <v>35</v>
      </c>
      <c r="B717" t="s">
        <v>577</v>
      </c>
    </row>
    <row r="718" spans="1:2" x14ac:dyDescent="0.3">
      <c r="A718" t="s">
        <v>35</v>
      </c>
      <c r="B718" t="s">
        <v>577</v>
      </c>
    </row>
    <row r="719" spans="1:2" x14ac:dyDescent="0.3">
      <c r="A719" t="s">
        <v>35</v>
      </c>
      <c r="B719" t="s">
        <v>577</v>
      </c>
    </row>
    <row r="720" spans="1:2" x14ac:dyDescent="0.3">
      <c r="A720" t="s">
        <v>35</v>
      </c>
      <c r="B720" t="s">
        <v>577</v>
      </c>
    </row>
    <row r="721" spans="1:2" x14ac:dyDescent="0.3">
      <c r="A721" t="s">
        <v>745</v>
      </c>
      <c r="B721" t="s">
        <v>577</v>
      </c>
    </row>
    <row r="722" spans="1:2" x14ac:dyDescent="0.3">
      <c r="A722" t="s">
        <v>745</v>
      </c>
      <c r="B722" t="s">
        <v>577</v>
      </c>
    </row>
    <row r="723" spans="1:2" x14ac:dyDescent="0.3">
      <c r="A723" t="s">
        <v>745</v>
      </c>
      <c r="B723" t="s">
        <v>577</v>
      </c>
    </row>
    <row r="724" spans="1:2" x14ac:dyDescent="0.3">
      <c r="A724" t="s">
        <v>745</v>
      </c>
      <c r="B724" t="s">
        <v>577</v>
      </c>
    </row>
    <row r="725" spans="1:2" x14ac:dyDescent="0.3">
      <c r="A725" t="s">
        <v>745</v>
      </c>
      <c r="B725" t="s">
        <v>577</v>
      </c>
    </row>
    <row r="726" spans="1:2" x14ac:dyDescent="0.3">
      <c r="A726" t="s">
        <v>745</v>
      </c>
      <c r="B726" t="s">
        <v>577</v>
      </c>
    </row>
    <row r="727" spans="1:2" x14ac:dyDescent="0.3">
      <c r="A727" t="s">
        <v>745</v>
      </c>
      <c r="B727" t="s">
        <v>577</v>
      </c>
    </row>
    <row r="728" spans="1:2" x14ac:dyDescent="0.3">
      <c r="A728" t="s">
        <v>745</v>
      </c>
      <c r="B728" t="s">
        <v>577</v>
      </c>
    </row>
    <row r="729" spans="1:2" x14ac:dyDescent="0.3">
      <c r="A729" t="s">
        <v>745</v>
      </c>
      <c r="B729" t="s">
        <v>577</v>
      </c>
    </row>
    <row r="730" spans="1:2" x14ac:dyDescent="0.3">
      <c r="A730" t="s">
        <v>745</v>
      </c>
      <c r="B730" t="s">
        <v>577</v>
      </c>
    </row>
    <row r="731" spans="1:2" x14ac:dyDescent="0.3">
      <c r="A731" t="s">
        <v>745</v>
      </c>
      <c r="B731" t="s">
        <v>577</v>
      </c>
    </row>
    <row r="732" spans="1:2" x14ac:dyDescent="0.3">
      <c r="A732" t="s">
        <v>51</v>
      </c>
      <c r="B732" t="s">
        <v>577</v>
      </c>
    </row>
    <row r="733" spans="1:2" x14ac:dyDescent="0.3">
      <c r="A733" t="s">
        <v>51</v>
      </c>
      <c r="B733" t="s">
        <v>577</v>
      </c>
    </row>
    <row r="734" spans="1:2" x14ac:dyDescent="0.3">
      <c r="A734" t="s">
        <v>51</v>
      </c>
      <c r="B734" t="s">
        <v>577</v>
      </c>
    </row>
    <row r="735" spans="1:2" x14ac:dyDescent="0.3">
      <c r="A735" t="s">
        <v>51</v>
      </c>
      <c r="B735" t="s">
        <v>577</v>
      </c>
    </row>
    <row r="736" spans="1:2" x14ac:dyDescent="0.3">
      <c r="A736" t="s">
        <v>51</v>
      </c>
      <c r="B736" t="s">
        <v>577</v>
      </c>
    </row>
    <row r="737" spans="1:2" x14ac:dyDescent="0.3">
      <c r="A737" t="s">
        <v>51</v>
      </c>
      <c r="B737" t="s">
        <v>577</v>
      </c>
    </row>
    <row r="738" spans="1:2" x14ac:dyDescent="0.3">
      <c r="A738" t="s">
        <v>51</v>
      </c>
      <c r="B738" t="s">
        <v>577</v>
      </c>
    </row>
    <row r="739" spans="1:2" x14ac:dyDescent="0.3">
      <c r="A739" t="s">
        <v>51</v>
      </c>
      <c r="B739" t="s">
        <v>577</v>
      </c>
    </row>
    <row r="740" spans="1:2" x14ac:dyDescent="0.3">
      <c r="A740" t="s">
        <v>363</v>
      </c>
      <c r="B740" t="s">
        <v>577</v>
      </c>
    </row>
    <row r="741" spans="1:2" x14ac:dyDescent="0.3">
      <c r="A741" t="s">
        <v>363</v>
      </c>
      <c r="B741" t="s">
        <v>577</v>
      </c>
    </row>
    <row r="742" spans="1:2" x14ac:dyDescent="0.3">
      <c r="A742" t="s">
        <v>363</v>
      </c>
      <c r="B742" t="s">
        <v>577</v>
      </c>
    </row>
    <row r="743" spans="1:2" x14ac:dyDescent="0.3">
      <c r="A743" t="s">
        <v>363</v>
      </c>
      <c r="B743" t="s">
        <v>577</v>
      </c>
    </row>
    <row r="744" spans="1:2" x14ac:dyDescent="0.3">
      <c r="A744" t="s">
        <v>363</v>
      </c>
      <c r="B744" t="s">
        <v>577</v>
      </c>
    </row>
    <row r="745" spans="1:2" x14ac:dyDescent="0.3">
      <c r="A745" t="s">
        <v>289</v>
      </c>
    </row>
    <row r="746" spans="1:2" x14ac:dyDescent="0.3">
      <c r="A746" t="s">
        <v>289</v>
      </c>
    </row>
    <row r="747" spans="1:2" x14ac:dyDescent="0.3">
      <c r="A747" t="s">
        <v>289</v>
      </c>
    </row>
    <row r="748" spans="1:2" x14ac:dyDescent="0.3">
      <c r="A748" t="s">
        <v>52</v>
      </c>
      <c r="B748" t="s">
        <v>577</v>
      </c>
    </row>
    <row r="749" spans="1:2" x14ac:dyDescent="0.3">
      <c r="A749" t="s">
        <v>52</v>
      </c>
      <c r="B749" t="s">
        <v>577</v>
      </c>
    </row>
    <row r="750" spans="1:2" x14ac:dyDescent="0.3">
      <c r="A750" t="s">
        <v>52</v>
      </c>
      <c r="B750" t="s">
        <v>577</v>
      </c>
    </row>
    <row r="751" spans="1:2" x14ac:dyDescent="0.3">
      <c r="A751" t="s">
        <v>52</v>
      </c>
      <c r="B751" t="s">
        <v>577</v>
      </c>
    </row>
    <row r="752" spans="1:2" x14ac:dyDescent="0.3">
      <c r="A752" t="s">
        <v>43</v>
      </c>
    </row>
    <row r="753" spans="1:2" x14ac:dyDescent="0.3">
      <c r="A753" t="s">
        <v>43</v>
      </c>
    </row>
    <row r="754" spans="1:2" x14ac:dyDescent="0.3">
      <c r="A754" t="s">
        <v>43</v>
      </c>
    </row>
    <row r="755" spans="1:2" x14ac:dyDescent="0.3">
      <c r="A755" t="s">
        <v>43</v>
      </c>
    </row>
    <row r="756" spans="1:2" x14ac:dyDescent="0.3">
      <c r="A756" t="s">
        <v>43</v>
      </c>
    </row>
    <row r="757" spans="1:2" x14ac:dyDescent="0.3">
      <c r="A757" t="s">
        <v>43</v>
      </c>
    </row>
    <row r="758" spans="1:2" x14ac:dyDescent="0.3">
      <c r="A758" t="s">
        <v>31</v>
      </c>
    </row>
    <row r="759" spans="1:2" x14ac:dyDescent="0.3">
      <c r="A759" t="s">
        <v>31</v>
      </c>
    </row>
    <row r="760" spans="1:2" x14ac:dyDescent="0.3">
      <c r="A760" t="s">
        <v>31</v>
      </c>
    </row>
    <row r="761" spans="1:2" x14ac:dyDescent="0.3">
      <c r="A761" t="s">
        <v>448</v>
      </c>
    </row>
    <row r="762" spans="1:2" x14ac:dyDescent="0.3">
      <c r="A762" t="s">
        <v>10</v>
      </c>
      <c r="B762" t="s">
        <v>577</v>
      </c>
    </row>
    <row r="763" spans="1:2" x14ac:dyDescent="0.3">
      <c r="A763" t="s">
        <v>10</v>
      </c>
      <c r="B763" t="s">
        <v>577</v>
      </c>
    </row>
    <row r="764" spans="1:2" x14ac:dyDescent="0.3">
      <c r="A764" t="s">
        <v>10</v>
      </c>
      <c r="B764" t="s">
        <v>577</v>
      </c>
    </row>
    <row r="765" spans="1:2" x14ac:dyDescent="0.3">
      <c r="A765" t="s">
        <v>10</v>
      </c>
      <c r="B765" t="s">
        <v>577</v>
      </c>
    </row>
    <row r="766" spans="1:2" x14ac:dyDescent="0.3">
      <c r="A766" t="s">
        <v>10</v>
      </c>
      <c r="B766" t="s">
        <v>577</v>
      </c>
    </row>
    <row r="767" spans="1:2" x14ac:dyDescent="0.3">
      <c r="A767" t="s">
        <v>10</v>
      </c>
      <c r="B767" t="s">
        <v>577</v>
      </c>
    </row>
    <row r="768" spans="1:2" x14ac:dyDescent="0.3">
      <c r="A768" t="s">
        <v>10</v>
      </c>
      <c r="B768" t="s">
        <v>577</v>
      </c>
    </row>
    <row r="769" spans="1:2" x14ac:dyDescent="0.3">
      <c r="A769" t="s">
        <v>10</v>
      </c>
      <c r="B769" t="s">
        <v>577</v>
      </c>
    </row>
    <row r="770" spans="1:2" x14ac:dyDescent="0.3">
      <c r="A770" t="s">
        <v>10</v>
      </c>
      <c r="B770" t="s">
        <v>577</v>
      </c>
    </row>
    <row r="771" spans="1:2" x14ac:dyDescent="0.3">
      <c r="A771" t="s">
        <v>774</v>
      </c>
      <c r="B771" t="s">
        <v>577</v>
      </c>
    </row>
    <row r="772" spans="1:2" x14ac:dyDescent="0.3">
      <c r="A772" t="s">
        <v>775</v>
      </c>
      <c r="B772" t="s">
        <v>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12</vt:i4>
      </vt:variant>
    </vt:vector>
  </HeadingPairs>
  <TitlesOfParts>
    <vt:vector size="12" baseType="lpstr">
      <vt:lpstr>Gelen İşçiler</vt:lpstr>
      <vt:lpstr>İstasyonlar</vt:lpstr>
      <vt:lpstr>Performans Çarpanları</vt:lpstr>
      <vt:lpstr>Master Yetenekleri</vt:lpstr>
      <vt:lpstr>97653 için istasyonlar</vt:lpstr>
      <vt:lpstr>78446 için istasyonlar</vt:lpstr>
      <vt:lpstr>40132 için istasyonlar</vt:lpstr>
      <vt:lpstr>77558 için istasyonlar</vt:lpstr>
      <vt:lpstr>77514 için istasyonlar</vt:lpstr>
      <vt:lpstr>78472 için istasyonlar</vt:lpstr>
      <vt:lpstr>Model Üretim Bilgileri</vt:lpstr>
      <vt:lpstr>SABİT İST GÜNCEL.....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ezgi kısa</dc:creator>
  <cp:lastModifiedBy>Ezgi Kısa</cp:lastModifiedBy>
  <dcterms:created xsi:type="dcterms:W3CDTF">2015-06-05T18:19:34Z</dcterms:created>
  <dcterms:modified xsi:type="dcterms:W3CDTF">2026-04-11T19:11:58Z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067fe22-5eac-47ec-8e7b-0d161ebb91ad_Enabled">
    <vt:lpwstr>true</vt:lpwstr>
  </property>
  <property fmtid="{D5CDD505-2E9C-101B-9397-08002B2CF9AE}" pid="3" name="MSIP_Label_0067fe22-5eac-47ec-8e7b-0d161ebb91ad_SetDate">
    <vt:lpwstr>2026-01-19T12:00:59Z</vt:lpwstr>
  </property>
  <property fmtid="{D5CDD505-2E9C-101B-9397-08002B2CF9AE}" pid="4" name="MSIP_Label_0067fe22-5eac-47ec-8e7b-0d161ebb91ad_Method">
    <vt:lpwstr>Standard</vt:lpwstr>
  </property>
  <property fmtid="{D5CDD505-2E9C-101B-9397-08002B2CF9AE}" pid="5" name="MSIP_Label_0067fe22-5eac-47ec-8e7b-0d161ebb91ad_Name">
    <vt:lpwstr>Internal_NonPerData</vt:lpwstr>
  </property>
  <property fmtid="{D5CDD505-2E9C-101B-9397-08002B2CF9AE}" pid="6" name="MSIP_Label_0067fe22-5eac-47ec-8e7b-0d161ebb91ad_SiteId">
    <vt:lpwstr>ef5926db-9bdf-4f9f-9066-d8e7f03943f7</vt:lpwstr>
  </property>
  <property fmtid="{D5CDD505-2E9C-101B-9397-08002B2CF9AE}" pid="7" name="MSIP_Label_0067fe22-5eac-47ec-8e7b-0d161ebb91ad_ActionId">
    <vt:lpwstr>c8ab2489-5539-483a-97c1-3e0c0a6ba7c2</vt:lpwstr>
  </property>
  <property fmtid="{D5CDD505-2E9C-101B-9397-08002B2CF9AE}" pid="8" name="MSIP_Label_0067fe22-5eac-47ec-8e7b-0d161ebb91ad_ContentBits">
    <vt:lpwstr>2</vt:lpwstr>
  </property>
  <property fmtid="{D5CDD505-2E9C-101B-9397-08002B2CF9AE}" pid="9" name="MSIP_Label_0067fe22-5eac-47ec-8e7b-0d161ebb91ad_Tag">
    <vt:lpwstr>10, 3, 0, 1</vt:lpwstr>
  </property>
</Properties>
</file>